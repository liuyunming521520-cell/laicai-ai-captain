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23e267944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点驾驶舱" sheetId="1" r:id="Rcc18c34ebabd499c"/>
    <x:sheet xmlns:r="http://schemas.openxmlformats.org/officeDocument/2006/relationships" name="日经营数据" sheetId="2" r:id="R64dc00e42c324692"/>
    <x:sheet xmlns:r="http://schemas.openxmlformats.org/officeDocument/2006/relationships" name="异常处置日志" sheetId="3" r:id="Rf0da772ce8514485"/>
    <x:sheet xmlns:r="http://schemas.openxmlformats.org/officeDocument/2006/relationships" name="数据字典" sheetId="4" r:id="Rfc8c8f30bf204ce6"/>
    <x:sheet xmlns:r="http://schemas.openxmlformats.org/officeDocument/2006/relationships" name="指标口径与验证" sheetId="5" r:id="R0910bc5547f8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#,##0"/>
  </x:numFmts>
  <x:fonts count="12">
    <x:font>
      <x:sz val="11"/>
      <x:name val="Carlito"/>
    </x:font>
    <x:font>
      <x:b/>
      <x:sz val="16"/>
      <x:color rgb="FFFFFFFF"/>
      <x:name val="Microsoft YaHei"/>
    </x:font>
    <x:font>
      <x:sz val="10"/>
      <x:color rgb="FF19553D"/>
      <x:name val="Microsoft YaHei"/>
    </x:font>
    <x:font>
      <x:b/>
      <x:sz val="10"/>
      <x:color rgb="FFFFFFFF"/>
      <x:name val="Microsoft YaHei"/>
    </x:font>
    <x:font>
      <x:sz val="10"/>
      <x:color rgb="FF18241E"/>
      <x:name val="Microsoft YaHei"/>
    </x:font>
    <x:font>
      <x:b/>
      <x:sz val="11"/>
      <x:color rgb="FF19553D"/>
      <x:name val="Microsoft YaHei"/>
    </x:font>
    <x:font>
      <x:sz val="9"/>
      <x:color rgb="FF5B6A61"/>
      <x:name val="Microsoft YaHei"/>
    </x:font>
    <x:font>
      <x:b/>
      <x:sz val="18"/>
      <x:color rgb="FF103B2A"/>
      <x:name val="Microsoft YaHei"/>
    </x:font>
    <x:font>
      <x:b/>
      <x:sz val="18"/>
      <x:color rgb="FFAD3833"/>
      <x:name val="Microsoft YaHei"/>
    </x:font>
    <x:font>
      <x:sz val="9"/>
      <x:color rgb="FF18241E"/>
      <x:name val="Microsoft YaHei"/>
    </x:font>
    <x:font>
      <x:b/>
      <x:sz val="10"/>
      <x:color rgb="FF9A6416"/>
      <x:name val="Microsoft YaHei"/>
    </x:font>
    <x:font>
      <x:b/>
      <x:sz val="10"/>
      <x:color rgb="FF245FBD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03B2A"/>
      </x:patternFill>
    </x:fill>
    <x:fill>
      <x:patternFill patternType="solid">
        <x:fgColor rgb="FFEDF6EF"/>
      </x:patternFill>
    </x:fill>
    <x:fill>
      <x:patternFill patternType="solid">
        <x:fgColor rgb="FF19553D"/>
      </x:patternFill>
    </x:fill>
    <x:fill>
      <x:patternFill patternType="solid">
        <x:fgColor rgb="FFF7FAF8"/>
      </x:patternFill>
    </x:fill>
    <x:fill>
      <x:patternFill patternType="solid">
        <x:fgColor rgb="FFFFFFFF"/>
      </x:patternFill>
    </x:fill>
    <x:fill>
      <x:patternFill patternType="solid">
        <x:fgColor rgb="FFFFF5DC"/>
      </x:patternFill>
    </x:fill>
    <x:fill>
      <x:patternFill patternType="solid">
        <x:fgColor rgb="FFEAF1FC"/>
      </x:patternFill>
    </x:fill>
  </x:fills>
  <x:borders count="19">
    <x:border/>
    <x:border>
      <x:left style="thin">
        <x:color rgb="FFD8E0DB"/>
      </x:left>
      <x:top style="thin">
        <x:color rgb="FFD8E0DB"/>
      </x:top>
    </x:border>
    <x:border>
      <x:top style="thin">
        <x:color rgb="FFD8E0DB"/>
      </x:top>
    </x:border>
    <x:border>
      <x:right style="thin">
        <x:color rgb="FFD8E0DB"/>
      </x:right>
      <x:top style="thin">
        <x:color rgb="FFD8E0DB"/>
      </x:top>
    </x:border>
    <x:border>
      <x:left style="thin">
        <x:color rgb="FFD8E0DB"/>
      </x:left>
    </x:border>
    <x:border>
      <x:right style="thin">
        <x:color rgb="FFD8E0DB"/>
      </x:right>
    </x:border>
    <x:border>
      <x:left style="thin">
        <x:color rgb="FFD8E0DB"/>
      </x:left>
      <x:bottom style="thin">
        <x:color rgb="FFD8E0DB"/>
      </x:bottom>
    </x:border>
    <x:border>
      <x:bottom style="thin">
        <x:color rgb="FFD8E0DB"/>
      </x:bottom>
    </x:border>
    <x:border>
      <x:right style="thin">
        <x:color rgb="FFD8E0DB"/>
      </x:right>
      <x:bottom style="thin">
        <x:color rgb="FFD8E0DB"/>
      </x:bottom>
    </x:border>
    <x:border>
      <x:left style="thin">
        <x:color rgb="FF19553D"/>
      </x:left>
      <x:top style="thin">
        <x:color rgb="FF19553D"/>
      </x:top>
      <x:bottom style="thin">
        <x:color rgb="FF19553D"/>
      </x:bottom>
    </x:border>
    <x:border>
      <x:top style="thin">
        <x:color rgb="FF19553D"/>
      </x:top>
      <x:bottom style="thin">
        <x:color rgb="FF19553D"/>
      </x:bottom>
    </x:border>
    <x:border>
      <x:right style="thin">
        <x:color rgb="FF19553D"/>
      </x:right>
      <x:top style="thin">
        <x:color rgb="FF19553D"/>
      </x:top>
      <x:bottom style="thin">
        <x:color rgb="FF19553D"/>
      </x:bottom>
    </x:border>
    <x:border>
      <x:left style="thin">
        <x:color rgb="FFD8E0DB"/>
      </x:left>
      <x:right style="thin">
        <x:color rgb="FFD8E0DB"/>
      </x:right>
      <x:bottom style="thin">
        <x:color rgb="FFD8E0DB"/>
      </x:bottom>
    </x:border>
    <x:border>
      <x:right style="thin">
        <x:color rgb="FFD8E0DB"/>
      </x:right>
      <x:top style="thin">
        <x:color rgb="FFD8E0DB"/>
      </x:top>
      <x:bottom style="thin">
        <x:color rgb="FFD8E0DB"/>
      </x:bottom>
    </x:border>
    <x:border>
      <x:left style="thin">
        <x:color rgb="FFD8E0DB"/>
      </x:left>
      <x:right style="thin">
        <x:color rgb="FFD8E0DB"/>
      </x:right>
      <x:top style="thin">
        <x:color rgb="FFD8E0DB"/>
      </x:top>
      <x:bottom style="thin">
        <x:color rgb="FFD8E0DB"/>
      </x:bottom>
    </x:border>
    <x:border>
      <x:left style="thin">
        <x:color rgb="FFD8E0DB"/>
      </x:left>
      <x:top style="thin">
        <x:color rgb="FFD8E0DB"/>
      </x:top>
      <x:bottom style="thin">
        <x:color rgb="FFD8E0DB"/>
      </x:bottom>
    </x:border>
    <x:border>
      <x:left style="thin">
        <x:color rgb="FFD8E0DB"/>
      </x:left>
      <x:right style="thin">
        <x:color rgb="FFD8E0DB"/>
      </x:right>
      <x:top style="thin">
        <x:color rgb="FFD8E0DB"/>
      </x:top>
    </x:border>
    <x:border>
      <x:left style="thin">
        <x:color rgb="FFE5C992"/>
      </x:left>
      <x:right style="thin">
        <x:color rgb="FFE5C992"/>
      </x:right>
      <x:top style="thin">
        <x:color rgb="FFE5C992"/>
      </x:top>
      <x:bottom style="thin">
        <x:color rgb="FFE5C992"/>
      </x:bottom>
    </x:border>
    <x:border>
      <x:left style="thin">
        <x:color rgb="FFBFD2F2"/>
      </x:left>
      <x:right style="thin">
        <x:color rgb="FFBFD2F2"/>
      </x:right>
      <x:top style="thin">
        <x:color rgb="FFBFD2F2"/>
      </x:top>
      <x:bottom style="thin">
        <x:color rgb="FFBFD2F2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vertical="center"/>
    </x:xf>
    <x:xf numFmtId="200" fontId="7" fillId="6" borderId="4" xfId="0" applyNumberFormat="1" applyFont="1" applyFill="1" applyBorder="1" applyAlignment="1">
      <x:alignment vertical="center"/>
    </x:xf>
    <x:xf numFmtId="200" fontId="7" fillId="6" borderId="4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8" fillId="6" borderId="4" xfId="0" applyNumberFormat="1" applyFont="1" applyFill="1" applyBorder="1" applyAlignment="1">
      <x:alignment vertical="center"/>
    </x:xf>
    <x:xf numFmtId="200" fontId="8" fillId="6" borderId="4" xfId="0" applyNumberFormat="1" applyFont="1" applyFill="1" applyBorder="1" applyAlignment="1">
      <x:alignment vertical="center"/>
    </x:xf>
    <x:xf numFmtId="200" fontId="8" fillId="6" borderId="4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8" xfId="0" applyNumberFormat="1" applyFont="1" applyFill="1" applyBorder="1"/>
    <x:xf numFmtId="0" fontId="9" fillId="0" borderId="12" xfId="0" applyNumberFormat="1" applyFont="1" applyFill="1" applyBorder="1"/>
    <x:xf numFmtId="0" fontId="9" fillId="0" borderId="6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3" xfId="0" applyNumberFormat="1" applyFont="1" applyFill="1" applyBorder="1"/>
    <x:xf numFmtId="0" fontId="9" fillId="0" borderId="16" xfId="0" applyNumberFormat="1" applyFont="1" applyFill="1" applyBorder="1"/>
    <x:xf numFmtId="0" fontId="9" fillId="0" borderId="1" xfId="0" applyNumberFormat="1" applyFont="1" applyFill="1" applyBorder="1"/>
    <x:xf numFmtId="0" fontId="9" fillId="0" borderId="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200" fontId="9" fillId="0" borderId="12" xfId="0" applyNumberFormat="1" applyFont="1" applyFill="1" applyBorder="1" applyAlignment="1">
      <x:alignment vertical="center"/>
    </x:xf>
    <x:xf numFmtId="200" fontId="9" fillId="0" borderId="14" xfId="0" applyNumberFormat="1" applyFont="1" applyFill="1" applyBorder="1" applyAlignment="1">
      <x:alignment vertical="center"/>
    </x:xf>
    <x:xf numFmtId="200" fontId="9" fillId="0" borderId="1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7" xfId="0" applyNumberFormat="1" applyFont="1" applyFill="1" applyBorder="1"/>
    <x:xf numFmtId="0" fontId="10" fillId="7" borderId="17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vertical="center" wrapText="1"/>
    </x:xf>
    <x:xf numFmtId="201" fontId="9" fillId="0" borderId="8" xfId="0" applyNumberFormat="1" applyFont="1" applyFill="1" applyBorder="1" applyAlignment="1">
      <x:alignment vertical="center"/>
    </x:xf>
    <x:xf numFmtId="201" fontId="9" fillId="0" borderId="13" xfId="0" applyNumberFormat="1" applyFont="1" applyFill="1" applyBorder="1" applyAlignment="1">
      <x:alignment vertical="center"/>
    </x:xf>
    <x:xf numFmtId="201" fontId="9" fillId="0" borderId="3" xfId="0" applyNumberFormat="1" applyFont="1" applyFill="1" applyBorder="1" applyAlignment="1">
      <x:alignment vertical="center"/>
    </x:xf>
    <x:xf numFmtId="202" fontId="9" fillId="0" borderId="12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202" fontId="9" fillId="0" borderId="16" xfId="0" applyNumberFormat="1" applyFont="1" applyFill="1" applyBorder="1" applyAlignment="1">
      <x:alignment vertical="center"/>
    </x:xf>
    <x:xf numFmtId="202" fontId="9" fillId="0" borderId="6" xfId="0" applyNumberFormat="1" applyFont="1" applyFill="1" applyBorder="1" applyAlignment="1">
      <x:alignment vertical="center"/>
    </x:xf>
    <x:xf numFmtId="202" fontId="9" fillId="0" borderId="15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12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14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8" xfId="0" applyNumberFormat="1" applyFont="1" applyFill="1" applyBorder="1"/>
    <x:xf numFmtId="0" fontId="11" fillId="8" borderId="18" xfId="0" applyNumberFormat="1" applyFont="1" applyFill="1" applyBorder="1" applyAlignment="1">
      <x:alignment wrapText="1"/>
    </x:xf>
    <x:xf numFmtId="0" fontId="11" fillId="8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AD3833"/>
      </x:font>
      <x:fill>
        <x:patternFill patternType="solid">
          <x:bgColor rgb="FFFFF0EE"/>
        </x:patternFill>
      </x:fill>
    </x:dxf>
    <x:dxf>
      <x:font>
        <x:b/>
        <x:color rgb="FF245FBD"/>
      </x:font>
      <x:fill>
        <x:patternFill patternType="solid">
          <x:bgColor rgb="FFEAF1FC"/>
        </x:patternFill>
      </x:fill>
    </x:dxf>
    <x:dxf>
      <x:font>
        <x:b/>
        <x:color rgb="FF9A6416"/>
      </x:font>
      <x:fill>
        <x:patternFill patternType="solid">
          <x:bgColor rgb="FFFFF5DC"/>
        </x:patternFill>
      </x:fill>
    </x:dxf>
    <x:dxf>
      <x:font>
        <x:b/>
        <x:color rgb="FF9A6416"/>
      </x:font>
      <x:fill>
        <x:patternFill patternType="solid">
          <x:bgColor rgb="FFFFF5DC"/>
        </x:patternFill>
      </x:fill>
    </x:dxf>
    <x:dxf>
      <x:font>
        <x:b/>
        <x:color rgb="FFAD3833"/>
      </x:font>
      <x:fill>
        <x:patternFill patternType="solid">
          <x:bgColor rgb="FFFFF0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50961a7e340d1" /><Relationship Type="http://schemas.openxmlformats.org/officeDocument/2006/relationships/theme" Target="/xl/theme/theme1.xml" Id="R9a94fd1412ad47e7" /><Relationship Type="http://schemas.openxmlformats.org/officeDocument/2006/relationships/sharedStrings" Target="/xl/sharedStrings.xml" Id="R00d1d92a8e8d4ee2" /><Relationship Type="http://schemas.openxmlformats.org/officeDocument/2006/relationships/worksheet" Target="/xl/worksheets/sheet1.xml" Id="Rcc18c34ebabd499c" /><Relationship Type="http://schemas.openxmlformats.org/officeDocument/2006/relationships/worksheet" Target="/xl/worksheets/sheet2.xml" Id="R64dc00e42c324692" /><Relationship Type="http://schemas.openxmlformats.org/officeDocument/2006/relationships/worksheet" Target="/xl/worksheets/sheet3.xml" Id="Rf0da772ce8514485" /><Relationship Type="http://schemas.openxmlformats.org/officeDocument/2006/relationships/worksheet" Target="/xl/worksheets/sheet4.xml" Id="Rfc8c8f30bf204ce6" /><Relationship Type="http://schemas.openxmlformats.org/officeDocument/2006/relationships/worksheet" Target="/xl/worksheets/sheet5.xml" Id="R0910bc5547f84c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d3279888d24a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各模拟店预测偏差 WAPE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WAPE</c:v>
          </c:tx>
          <c:cat>
            <c:strRef>
              <c:f>'试点驾驶舱'!$A$17:$A$19</c:f>
              <c:strCache>
                <c:ptCount val="0"/>
              </c:strCache>
            </c:strRef>
          </c:cat>
          <c:val>
            <c:numRef>
              <c:f>'试点驾驶舱'!$B$17:$B$19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3279888d24a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6e5e24b3f44f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28" hidden="0" customWidth="1"/>
    <x:col min="8" max="8" width="3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1" customHeight="1">
      <x:c r="A1" s="3" t="str">
        <x:v>来菜 AI 店长作战台｜3 店 4 菜 28 日模拟试点驾驶舱</x:v>
      </x:c>
    </x:row>
    <x:row r="2" ht="28" customHeight="1">
      <x:c r="A2" s="7" t="str">
        <x:v>所有数据均为模拟数据，用于演示“经营 - 备餐 - 品控 - 门店评估”如何形成可验证闭环。</x:v>
      </x:c>
    </x:row>
    <x:row r="4" ht="23" customHeight="1">
      <x:c r="A4" s="11" t="str">
        <x:v>试点范围</x:v>
      </x:c>
      <x:c r="B4" s="11"/>
      <x:c r="C4" s="11"/>
      <x:c r="D4" s="11"/>
      <x:c r="E4" s="11"/>
      <x:c r="F4" s="11"/>
      <x:c r="G4" s="11"/>
      <x:c r="H4" s="11"/>
      <x:c r="J4" s="11" t="str">
        <x:v>产品边界与试点判定</x:v>
      </x:c>
      <x:c r="K4" s="11"/>
      <x:c r="L4" s="11"/>
      <x:c r="M4" s="11"/>
      <x:c r="N4" s="11"/>
      <x:c r="O4" s="11"/>
      <x:c r="P4" s="11"/>
    </x:row>
    <x:row r="5" ht="23" customHeight="1">
      <x:c r="A5" s="30" t="str">
        <x:v>3 家模拟门店 · 4 个重点菜品 · 28 天 · 晚市场景
数据不代表来菜内部经营事实，不用于推断真实业绩。</x:v>
      </x:c>
      <x:c r="B5" s="31"/>
      <x:c r="C5" s="31"/>
      <x:c r="D5" s="31"/>
      <x:c r="E5" s="31"/>
      <x:c r="F5" s="31"/>
      <x:c r="G5" s="31"/>
      <x:c r="H5" s="32"/>
      <x:c r="J5" s="30" t="str">
        <x:v>AI 输出需求基线、风险线索和复盘初稿。店长可调整，品控责任人必须复核。试点看建议是否被采纳、偏差能否解释、异常能否闭环。</x:v>
      </x:c>
      <x:c r="K5" s="31"/>
      <x:c r="L5" s="31"/>
      <x:c r="M5" s="31"/>
      <x:c r="N5" s="31"/>
      <x:c r="O5" s="31"/>
      <x:c r="P5" s="32"/>
    </x:row>
    <x:row r="6" ht="23" customHeight="1">
      <x:c r="A6" s="33"/>
      <x:c r="B6" s="34"/>
      <x:c r="C6" s="34"/>
      <x:c r="D6" s="34"/>
      <x:c r="E6" s="34"/>
      <x:c r="F6" s="34"/>
      <x:c r="G6" s="34"/>
      <x:c r="H6" s="35"/>
      <x:c r="J6" s="33"/>
      <x:c r="K6" s="34"/>
      <x:c r="L6" s="34"/>
      <x:c r="M6" s="34"/>
      <x:c r="N6" s="34"/>
      <x:c r="O6" s="34"/>
      <x:c r="P6" s="35"/>
    </x:row>
    <x:row r="7" ht="23" customHeight="1">
      <x:c r="A7" s="36"/>
      <x:c r="B7" s="37"/>
      <x:c r="C7" s="37"/>
      <x:c r="D7" s="37"/>
      <x:c r="E7" s="37"/>
      <x:c r="F7" s="37"/>
      <x:c r="G7" s="37"/>
      <x:c r="H7" s="38"/>
      <x:c r="J7" s="36"/>
      <x:c r="K7" s="37"/>
      <x:c r="L7" s="37"/>
      <x:c r="M7" s="37"/>
      <x:c r="N7" s="37"/>
      <x:c r="O7" s="37"/>
      <x:c r="P7" s="38"/>
    </x:row>
    <x:row r="9" ht="24" customHeight="1">
      <x:c r="A9" s="41" t="str">
        <x:v>试点核心指标（均为模拟样本计算结果）</x:v>
      </x:c>
    </x:row>
    <x:row r="10" ht="20" customHeight="1">
      <x:c r="A10" s="56" t="str">
        <x:v>建议采纳率</x:v>
      </x:c>
      <x:c r="B10" s="50"/>
      <x:c r="C10" s="56" t="str">
        <x:v>预测偏差 WAPE</x:v>
      </x:c>
      <x:c r="D10" s="50"/>
      <x:c r="E10" s="56" t="str">
        <x:v>售罄率</x:v>
      </x:c>
      <x:c r="F10" s="50"/>
      <x:c r="G10" s="56" t="str">
        <x:v>报损率</x:v>
      </x:c>
      <x:c r="H10" s="50"/>
    </x:row>
    <x:row r="11" ht="20" customHeight="1">
      <x:c r="A11" s="59" t="n">
        <x:f>COUNTIF('日经营数据'!$V$5:$V$340,"沿用建议")/COUNTA('日经营数据'!$A$5:$A$340)</x:f>
        <x:v>0.8779761904761905</x:v>
      </x:c>
      <x:c r="B11" s="52"/>
      <x:c r="C11" s="59" t="n">
        <x:f>SUM('日经营数据'!$U$5:$U$340)/SUM('日经营数据'!$N$5:$N$340)</x:f>
        <x:v>0.11314894246413253</x:v>
      </x:c>
      <x:c r="D11" s="52"/>
      <x:c r="E11" s="64" t="n">
        <x:f>COUNTIF('日经营数据'!$Q$5:$Q$340,"是")/COUNTA('日经营数据'!$A$5:$A$340)</x:f>
        <x:v>0.005952380952380952</x:v>
      </x:c>
      <x:c r="F11" s="52"/>
      <x:c r="G11" s="59" t="n">
        <x:f>SUM('日经营数据'!$P$5:$P$340)/SUM('日经营数据'!$L$5:$L$340)</x:f>
        <x:v>0.06590486314111081</x:v>
      </x:c>
      <x:c r="H11" s="52"/>
    </x:row>
    <x:row r="12" ht="20" customHeight="1">
      <x:c r="A12" s="51"/>
      <x:c r="B12" s="52"/>
      <x:c r="C12" s="51"/>
      <x:c r="D12" s="52"/>
      <x:c r="E12" s="51"/>
      <x:c r="F12" s="52"/>
      <x:c r="G12" s="51"/>
      <x:c r="H12" s="52"/>
    </x:row>
    <x:row r="13" ht="20" customHeight="1">
      <x:c r="A13" s="61" t="str">
        <x:v>店长保留调整权</x:v>
      </x:c>
      <x:c r="B13" s="54"/>
      <x:c r="C13" s="61" t="str">
        <x:v>重点菜品合计</x:v>
      </x:c>
      <x:c r="D13" s="54"/>
      <x:c r="E13" s="61" t="str">
        <x:v>同时防止缺货</x:v>
      </x:c>
      <x:c r="F13" s="54"/>
      <x:c r="G13" s="61" t="str">
        <x:v>同时防止积压</x:v>
      </x:c>
      <x:c r="H13" s="54"/>
    </x:row>
    <x:row r="16" ht="23" customHeight="1">
      <x:c r="A16" s="74" t="str">
        <x:v>模拟门店</x:v>
      </x:c>
      <x:c r="B16" s="75" t="str">
        <x:v>WAPE</x:v>
      </x:c>
      <x:c r="C16" s="75" t="str">
        <x:v>建议采纳率</x:v>
      </x:c>
      <x:c r="D16" s="75" t="str">
        <x:v>售罄率</x:v>
      </x:c>
      <x:c r="E16" s="75" t="str">
        <x:v>报损率</x:v>
      </x:c>
      <x:c r="F16" s="75" t="str">
        <x:v>异常闭环率</x:v>
      </x:c>
      <x:c r="G16" s="76" t="str">
        <x:v>下周辅导方向</x:v>
      </x:c>
    </x:row>
    <x:row r="17" ht="23" customHeight="1">
      <x:c r="A17" s="87" t="str">
        <x:v>模拟店 A（成熟商圈）</x:v>
      </x:c>
      <x:c r="B17" s="96" t="n">
        <x:f>SUMIFS('日经营数据'!$U$5:$U$340,'日经营数据'!$B$5:$B$340,$A17)/SUMIFS('日经营数据'!$N$5:$N$340,'日经营数据'!$B$5:$B$340,$A17)</x:f>
        <x:v>0.09732498577120091</x:v>
      </x:c>
      <x:c r="C17" s="96" t="n">
        <x:f>COUNTIFS('日经营数据'!$B$5:$B$340,$A17,'日经营数据'!$V$5:$V$340,"沿用建议")/COUNTIF('日经营数据'!$B$5:$B$340,$A17)</x:f>
        <x:v>0.8839285714285714</x:v>
      </x:c>
      <x:c r="D17" s="96" t="n">
        <x:f>COUNTIFS('日经营数据'!$B$5:$B$340,$A17,'日经营数据'!$Q$5:$Q$340,"是")/COUNTIF('日经营数据'!$B$5:$B$340,$A17)</x:f>
        <x:v>0.008928571428571428</x:v>
      </x:c>
      <x:c r="E17" s="96" t="n">
        <x:f>SUMIFS('日经营数据'!$P$5:$P$340,'日经营数据'!$B$5:$B$340,$A17)/SUMIFS('日经营数据'!$L$5:$L$340,'日经营数据'!$B$5:$B$340,$A17)</x:f>
        <x:v>0.058782849239280774</x:v>
      </x:c>
      <x:c r="F17" s="96" t="n">
        <x:f>COUNTIFS('异常处置日志'!$C$5:$C$28,$A17,'异常处置日志'!$J$5:$J$28,"已关闭")/COUNTIF('异常处置日志'!$C$5:$C$28,$A17)</x:f>
        <x:v>1</x:v>
      </x:c>
      <x:c r="G17" s="89" t="str">
        <x:f>"检验周末活动标签"</x:f>
        <x:v>检验周末活动标签</x:v>
      </x:c>
    </x:row>
    <x:row r="18" ht="23" customHeight="1">
      <x:c r="A18" s="90" t="str">
        <x:v>模拟店 B（新开门店）</x:v>
      </x:c>
      <x:c r="B18" s="97" t="n">
        <x:f>SUMIFS('日经营数据'!$U$5:$U$340,'日经营数据'!$B$5:$B$340,$A18)/SUMIFS('日经营数据'!$N$5:$N$340,'日经营数据'!$B$5:$B$340,$A18)</x:f>
        <x:v>0.12663755458515283</x:v>
      </x:c>
      <x:c r="C18" s="97" t="n">
        <x:f>COUNTIFS('日经营数据'!$B$5:$B$340,$A18,'日经营数据'!$V$5:$V$340,"沿用建议")/COUNTIF('日经营数据'!$B$5:$B$340,$A18)</x:f>
        <x:v>0.875</x:v>
      </x:c>
      <x:c r="D18" s="97" t="n">
        <x:f>COUNTIFS('日经营数据'!$B$5:$B$340,$A18,'日经营数据'!$Q$5:$Q$340,"是")/COUNTIF('日经营数据'!$B$5:$B$340,$A18)</x:f>
        <x:v>0.008928571428571428</x:v>
      </x:c>
      <x:c r="E18" s="97" t="n">
        <x:f>SUMIFS('日经营数据'!$P$5:$P$340,'日经营数据'!$B$5:$B$340,$A18)/SUMIFS('日经营数据'!$L$5:$L$340,'日经营数据'!$B$5:$B$340,$A18)</x:f>
        <x:v>0.07113543091655267</x:v>
      </x:c>
      <x:c r="F18" s="97" t="n">
        <x:f>COUNTIFS('异常处置日志'!$C$5:$C$28,$A18,'异常处置日志'!$J$5:$J$28,"已关闭")/COUNTIF('异常处置日志'!$C$5:$C$28,$A18)</x:f>
        <x:v>0.875</x:v>
      </x:c>
      <x:c r="G18" s="92" t="str">
        <x:f>"补足新店需求基线"</x:f>
        <x:v>补足新店需求基线</x:v>
      </x:c>
    </x:row>
    <x:row r="19" ht="23" customHeight="1">
      <x:c r="A19" s="93" t="str">
        <x:v>模拟店 C（社区门店）</x:v>
      </x:c>
      <x:c r="B19" s="98" t="n">
        <x:f>SUMIFS('日经营数据'!$U$5:$U$340,'日经营数据'!$B$5:$B$340,$A19)/SUMIFS('日经营数据'!$N$5:$N$340,'日经营数据'!$B$5:$B$340,$A19)</x:f>
        <x:v>0.12023864157870583</x:v>
      </x:c>
      <x:c r="C19" s="98" t="n">
        <x:f>COUNTIFS('日经营数据'!$B$5:$B$340,$A19,'日经营数据'!$V$5:$V$340,"沿用建议")/COUNTIF('日经营数据'!$B$5:$B$340,$A19)</x:f>
        <x:v>0.875</x:v>
      </x:c>
      <x:c r="D19" s="98" t="n">
        <x:f>COUNTIFS('日经营数据'!$B$5:$B$340,$A19,'日经营数据'!$Q$5:$Q$340,"是")/COUNTIF('日经营数据'!$B$5:$B$340,$A19)</x:f>
        <x:v>0</x:v>
      </x:c>
      <x:c r="E19" s="98" t="n">
        <x:f>SUMIFS('日经营数据'!$P$5:$P$340,'日经营数据'!$B$5:$B$340,$A19)/SUMIFS('日经营数据'!$L$5:$L$340,'日经营数据'!$B$5:$B$340,$A19)</x:f>
        <x:v>0.06964358869315854</x:v>
      </x:c>
      <x:c r="F19" s="98" t="n">
        <x:f>COUNTIFS('异常处置日志'!$C$5:$C$28,$A19,'异常处置日志'!$J$5:$J$28,"已关闭")/COUNTIF('异常处置日志'!$C$5:$C$28,$A19)</x:f>
        <x:v>0.875</x:v>
      </x:c>
      <x:c r="G19" s="95" t="str">
        <x:f>"核对甜品报损原因"</x:f>
        <x:v>核对甜品报损原因</x:v>
      </x:c>
    </x:row>
    <x:row r="22" ht="30" customHeight="1">
      <x:c r="A22" s="103" t="str">
        <x:v>结论使用方式：用这份工作簿演示“数据从哪来、建议怎样被人改、改完以后如何验证”，而不是声称任何真实经营提升。</x:v>
      </x:c>
    </x:row>
  </x:sheetData>
  <x:mergeCells>
    <x:mergeCell ref="A1:P1"/>
    <x:mergeCell ref="A2:P2"/>
    <x:mergeCell ref="A4:H4"/>
    <x:mergeCell ref="A5:H7"/>
    <x:mergeCell ref="J4:P4"/>
    <x:mergeCell ref="J5:P7"/>
    <x:mergeCell ref="A9:H9"/>
    <x:mergeCell ref="A10:B10"/>
    <x:mergeCell ref="A11:B12"/>
    <x:mergeCell ref="A13:B13"/>
    <x:mergeCell ref="C10:D10"/>
    <x:mergeCell ref="C11:D12"/>
    <x:mergeCell ref="C13:D13"/>
    <x:mergeCell ref="E10:F10"/>
    <x:mergeCell ref="E11:F12"/>
    <x:mergeCell ref="E13:F13"/>
    <x:mergeCell ref="G10:H10"/>
    <x:mergeCell ref="G11:H12"/>
    <x:mergeCell ref="G13:H13"/>
    <x:mergeCell ref="A22:G22"/>
  </x:mergeCells>
  <x:conditionalFormatting sqref="B17:F19">
    <x:cfRule type="dataBar" priority="1">
      <x:dataBar>
        <x:cfvo type="min"/>
        <x:cfvo type="max"/>
        <x:color rgb="FF19553D"/>
      </x:dataBar>
      <x:extLst>
        <x:ext xmlns:x14="http://schemas.microsoft.com/office/spreadsheetml/2009/9/main" uri="{B025F937-C7B1-47D3-B67F-A62EFF666E3E}">
          <x14:id>{5422E280-80C8-9586-AC6D-17E16B328210}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d6e5e24b3f44f3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422E280-80C8-9586-AC6D-17E16B328210}">
            <x14:dataBar gradient="0">
              <x14:cfvo type="min"/>
              <x14:cfvo type="max"/>
              <x14:fillColor rgb="FF19553D"/>
            </x14:dataBar>
          </x14:cfRule>
          <xm:sqref>B17:F19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1" hidden="0" customWidth="1"/>
    <x:col min="4" max="4" width="16" hidden="0" customWidth="1"/>
    <x:col min="5" max="5" width="8" hidden="0" customWidth="1"/>
    <x:col min="6" max="6" width="11" hidden="0" customWidth="1"/>
    <x:col min="7" max="7" width="10" hidden="0" customWidth="1"/>
    <x:col min="8" max="8" width="1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7" hidden="0" customWidth="1"/>
    <x:col min="14" max="14" width="10" hidden="0" customWidth="1"/>
    <x:col min="15" max="15" width="10" hidden="0" customWidth="1"/>
    <x:col min="16" max="16" width="10" hidden="0" customWidth="1"/>
    <x:col min="17" max="17" width="9" hidden="0" customWidth="1"/>
    <x:col min="18" max="18" width="8" hidden="0" customWidth="1"/>
    <x:col min="19" max="19" width="10" hidden="0" customWidth="1"/>
    <x:col min="20" max="20" width="23" hidden="0" customWidth="1"/>
    <x:col min="21" max="21" width="10" hidden="0" customWidth="1"/>
    <x:col min="22" max="22" width="11" hidden="0" customWidth="1"/>
    <x:col min="23" max="23" width="11" hidden="0" customWidth="1"/>
  </x:cols>
  <x:sheetData>
    <x:row r="1" ht="31" customHeight="1">
      <x:c r="A1" s="3" t="str">
        <x:v>日经营数据｜3 店 4 菜 28 日模拟样本</x:v>
      </x:c>
    </x:row>
    <x:row r="2" ht="28" customHeight="1">
      <x:c r="A2" s="7" t="str">
        <x:v>数据粒度：门店 × 日期 × 菜品 × 晚市。建议量、店长确认量、实际销售量均为模拟值。</x:v>
      </x:c>
    </x:row>
    <x:row r="4" ht="28" customHeight="1">
      <x:c r="A4" s="74" t="str">
        <x:v>日期</x:v>
      </x:c>
      <x:c r="B4" s="75" t="str">
        <x:v>模拟门店</x:v>
      </x:c>
      <x:c r="C4" s="75" t="str">
        <x:v>门店阶段</x:v>
      </x:c>
      <x:c r="D4" s="75" t="str">
        <x:v>菜品</x:v>
      </x:c>
      <x:c r="E4" s="75" t="str">
        <x:v>餐段</x:v>
      </x:c>
      <x:c r="F4" s="75" t="str">
        <x:v>星期类型</x:v>
      </x:c>
      <x:c r="G4" s="75" t="str">
        <x:v>天气信号</x:v>
      </x:c>
      <x:c r="H4" s="75" t="str">
        <x:v>活动信号</x:v>
      </x:c>
      <x:c r="I4" s="75" t="str">
        <x:v>P50 预测</x:v>
      </x:c>
      <x:c r="J4" s="75" t="str">
        <x:v>P75 预测</x:v>
      </x:c>
      <x:c r="K4" s="75" t="str">
        <x:v>建议备餐</x:v>
      </x:c>
      <x:c r="L4" s="75" t="str">
        <x:v>店长确认</x:v>
      </x:c>
      <x:c r="M4" s="75" t="str">
        <x:v>调整原因</x:v>
      </x:c>
      <x:c r="N4" s="75" t="str">
        <x:v>实际销售</x:v>
      </x:c>
      <x:c r="O4" s="75" t="str">
        <x:v>可用库存</x:v>
      </x:c>
      <x:c r="P4" s="75" t="str">
        <x:v>报损份数</x:v>
      </x:c>
      <x:c r="Q4" s="75" t="str">
        <x:v>是否售罄</x:v>
      </x:c>
      <x:c r="R4" s="75" t="str">
        <x:v>反馈数</x:v>
      </x:c>
      <x:c r="S4" s="75" t="str">
        <x:v>品控状态</x:v>
      </x:c>
      <x:c r="T4" s="75" t="str">
        <x:v>备注</x:v>
      </x:c>
      <x:c r="U4" s="75" t="str">
        <x:v>备餐偏差</x:v>
      </x:c>
      <x:c r="V4" s="75" t="str">
        <x:v>调整标记</x:v>
      </x:c>
      <x:c r="W4" s="76" t="str">
        <x:v>风险标签</x:v>
      </x:c>
    </x:row>
    <x:row r="5" ht="20" customHeight="1">
      <x:c r="A5" s="104" t="n">
        <x:v>46188</x:v>
      </x:c>
      <x:c r="B5" s="88" t="str">
        <x:v>模拟店 A（成熟商圈）</x:v>
      </x:c>
      <x:c r="C5" s="88" t="str">
        <x:v>成熟店</x:v>
      </x:c>
      <x:c r="D5" s="88" t="str">
        <x:v>筒骨煨藕汤</x:v>
      </x:c>
      <x:c r="E5" s="88" t="str">
        <x:v>晚市</x:v>
      </x:c>
      <x:c r="F5" s="88" t="str">
        <x:v>工作日周一</x:v>
      </x:c>
      <x:c r="G5" s="88" t="str">
        <x:v>常温</x:v>
      </x:c>
      <x:c r="H5" s="88" t="str">
        <x:v>团餐线索</x:v>
      </x:c>
      <x:c r="I5" s="107" t="n">
        <x:v>73</x:v>
      </x:c>
      <x:c r="J5" s="107" t="n">
        <x:v>82</x:v>
      </x:c>
      <x:c r="K5" s="107" t="n">
        <x:v>82</x:v>
      </x:c>
      <x:c r="L5" s="107" t="n">
        <x:v>80</x:v>
      </x:c>
      <x:c r="M5" s="107" t="str">
        <x:v>团餐尚未确认</x:v>
      </x:c>
      <x:c r="N5" s="107" t="n">
        <x:v>79</x:v>
      </x:c>
      <x:c r="O5" s="107" t="n">
        <x:v>94</x:v>
      </x:c>
      <x:c r="P5" s="107" t="n">
        <x:v>0</x:v>
      </x:c>
      <x:c r="Q5" s="88" t="str">
        <x:v>否</x:v>
      </x:c>
      <x:c r="R5" s="88" t="n">
        <x:v>1</x:v>
      </x:c>
      <x:c r="S5" s="88" t="str">
        <x:v>待复核</x:v>
      </x:c>
      <x:c r="T5" s="88" t="str">
        <x:v>关联异常处置日志</x:v>
      </x:c>
      <x:c r="U5" s="88" t="n">
        <x:f>ABS(L5-N5)</x:f>
        <x:v>1</x:v>
      </x:c>
      <x:c r="V5" s="88" t="str">
        <x:f>IF(L5=K5,"沿用建议","人工调整")</x:f>
        <x:v>人工调整</x:v>
      </x:c>
      <x:c r="W5" s="89" t="str">
        <x:f>IF(Q5="是","售罄风险",IF(P5&gt;3,"损耗风险","正常"))</x:f>
        <x:v>正常</x:v>
      </x:c>
    </x:row>
    <x:row r="6" ht="20" customHeight="1">
      <x:c r="A6" s="105" t="n">
        <x:v>46188</x:v>
      </x:c>
      <x:c r="B6" s="91" t="str">
        <x:v>模拟店 A（成熟商圈）</x:v>
      </x:c>
      <x:c r="C6" s="91" t="str">
        <x:v>成熟店</x:v>
      </x:c>
      <x:c r="D6" s="91" t="str">
        <x:v>粉蒸排骨</x:v>
      </x:c>
      <x:c r="E6" s="91" t="str">
        <x:v>晚市</x:v>
      </x:c>
      <x:c r="F6" s="91" t="str">
        <x:v>工作日周一</x:v>
      </x:c>
      <x:c r="G6" s="91" t="str">
        <x:v>常温</x:v>
      </x:c>
      <x:c r="H6" s="91" t="str">
        <x:v>团餐线索</x:v>
      </x:c>
      <x:c r="I6" s="108" t="n">
        <x:v>45</x:v>
      </x:c>
      <x:c r="J6" s="108" t="n">
        <x:v>49</x:v>
      </x:c>
      <x:c r="K6" s="108" t="n">
        <x:v>49</x:v>
      </x:c>
      <x:c r="L6" s="108" t="n">
        <x:v>49</x:v>
      </x:c>
      <x:c r="M6" s="108" t="str">
        <x:v>沿用建议</x:v>
      </x:c>
      <x:c r="N6" s="108" t="n">
        <x:v>45</x:v>
      </x:c>
      <x:c r="O6" s="108" t="n">
        <x:v>57</x:v>
      </x:c>
      <x:c r="P6" s="108" t="n">
        <x:v>2</x:v>
      </x:c>
      <x:c r="Q6" s="91" t="str">
        <x:v>否</x:v>
      </x:c>
      <x:c r="R6" s="91" t="n">
        <x:v>1</x:v>
      </x:c>
      <x:c r="S6" s="91" t="str">
        <x:v>无</x:v>
      </x:c>
      <x:c r="T6" s="91" t="str">
        <x:v>模拟正常样本</x:v>
      </x:c>
      <x:c r="U6" s="91" t="n">
        <x:f>ABS(L6-N6)</x:f>
        <x:v>4</x:v>
      </x:c>
      <x:c r="V6" s="91" t="str">
        <x:f>IF(L6=K6,"沿用建议","人工调整")</x:f>
        <x:v>沿用建议</x:v>
      </x:c>
      <x:c r="W6" s="92" t="str">
        <x:f>IF(Q6="是","售罄风险",IF(P6&gt;3,"损耗风险","正常"))</x:f>
        <x:v>正常</x:v>
      </x:c>
    </x:row>
    <x:row r="7" ht="20" customHeight="1">
      <x:c r="A7" s="105" t="n">
        <x:v>46188</x:v>
      </x:c>
      <x:c r="B7" s="91" t="str">
        <x:v>模拟店 A（成熟商圈）</x:v>
      </x:c>
      <x:c r="C7" s="91" t="str">
        <x:v>成熟店</x:v>
      </x:c>
      <x:c r="D7" s="91" t="str">
        <x:v>桂花糖藕</x:v>
      </x:c>
      <x:c r="E7" s="91" t="str">
        <x:v>晚市</x:v>
      </x:c>
      <x:c r="F7" s="91" t="str">
        <x:v>工作日周一</x:v>
      </x:c>
      <x:c r="G7" s="91" t="str">
        <x:v>常温</x:v>
      </x:c>
      <x:c r="H7" s="91" t="str">
        <x:v>团餐线索</x:v>
      </x:c>
      <x:c r="I7" s="108" t="n">
        <x:v>30</x:v>
      </x:c>
      <x:c r="J7" s="108" t="n">
        <x:v>34</x:v>
      </x:c>
      <x:c r="K7" s="108" t="n">
        <x:v>34</x:v>
      </x:c>
      <x:c r="L7" s="108" t="n">
        <x:v>34</x:v>
      </x:c>
      <x:c r="M7" s="108" t="str">
        <x:v>沿用建议</x:v>
      </x:c>
      <x:c r="N7" s="108" t="n">
        <x:v>34</x:v>
      </x:c>
      <x:c r="O7" s="108" t="n">
        <x:v>43</x:v>
      </x:c>
      <x:c r="P7" s="108" t="n">
        <x:v>0</x:v>
      </x:c>
      <x:c r="Q7" s="91" t="str">
        <x:v>否</x:v>
      </x:c>
      <x:c r="R7" s="91" t="n">
        <x:v>2</x:v>
      </x:c>
      <x:c r="S7" s="91" t="str">
        <x:v>无</x:v>
      </x:c>
      <x:c r="T7" s="91" t="str">
        <x:v>模拟正常样本</x:v>
      </x:c>
      <x:c r="U7" s="91" t="n">
        <x:f>ABS(L7-N7)</x:f>
        <x:v>0</x:v>
      </x:c>
      <x:c r="V7" s="91" t="str">
        <x:f>IF(L7=K7,"沿用建议","人工调整")</x:f>
        <x:v>沿用建议</x:v>
      </x:c>
      <x:c r="W7" s="92" t="str">
        <x:f>IF(Q7="是","售罄风险",IF(P7&gt;3,"损耗风险","正常"))</x:f>
        <x:v>正常</x:v>
      </x:c>
    </x:row>
    <x:row r="8" ht="20" customHeight="1">
      <x:c r="A8" s="105" t="n">
        <x:v>46188</x:v>
      </x:c>
      <x:c r="B8" s="91" t="str">
        <x:v>模拟店 A（成熟商圈）</x:v>
      </x:c>
      <x:c r="C8" s="91" t="str">
        <x:v>成熟店</x:v>
      </x:c>
      <x:c r="D8" s="91" t="str">
        <x:v>藕夹</x:v>
      </x:c>
      <x:c r="E8" s="91" t="str">
        <x:v>晚市</x:v>
      </x:c>
      <x:c r="F8" s="91" t="str">
        <x:v>工作日周一</x:v>
      </x:c>
      <x:c r="G8" s="91" t="str">
        <x:v>常温</x:v>
      </x:c>
      <x:c r="H8" s="91" t="str">
        <x:v>团餐线索</x:v>
      </x:c>
      <x:c r="I8" s="108" t="n">
        <x:v>36</x:v>
      </x:c>
      <x:c r="J8" s="108" t="n">
        <x:v>40</x:v>
      </x:c>
      <x:c r="K8" s="108" t="n">
        <x:v>40</x:v>
      </x:c>
      <x:c r="L8" s="108" t="n">
        <x:v>40</x:v>
      </x:c>
      <x:c r="M8" s="108" t="str">
        <x:v>沿用建议</x:v>
      </x:c>
      <x:c r="N8" s="108" t="n">
        <x:v>36</x:v>
      </x:c>
      <x:c r="O8" s="108" t="n">
        <x:v>51</x:v>
      </x:c>
      <x:c r="P8" s="108" t="n">
        <x:v>2</x:v>
      </x:c>
      <x:c r="Q8" s="91" t="str">
        <x:v>否</x:v>
      </x:c>
      <x:c r="R8" s="91" t="n">
        <x:v>0</x:v>
      </x:c>
      <x:c r="S8" s="91" t="str">
        <x:v>无</x:v>
      </x:c>
      <x:c r="T8" s="91" t="str">
        <x:v>模拟正常样本</x:v>
      </x:c>
      <x:c r="U8" s="91" t="n">
        <x:f>ABS(L8-N8)</x:f>
        <x:v>4</x:v>
      </x:c>
      <x:c r="V8" s="91" t="str">
        <x:f>IF(L8=K8,"沿用建议","人工调整")</x:f>
        <x:v>沿用建议</x:v>
      </x:c>
      <x:c r="W8" s="92" t="str">
        <x:f>IF(Q8="是","售罄风险",IF(P8&gt;3,"损耗风险","正常"))</x:f>
        <x:v>正常</x:v>
      </x:c>
    </x:row>
    <x:row r="9" ht="20" customHeight="1">
      <x:c r="A9" s="105" t="n">
        <x:v>46188</x:v>
      </x:c>
      <x:c r="B9" s="91" t="str">
        <x:v>模拟店 B（新开门店）</x:v>
      </x:c>
      <x:c r="C9" s="91" t="str">
        <x:v>新店</x:v>
      </x:c>
      <x:c r="D9" s="91" t="str">
        <x:v>筒骨煨藕汤</x:v>
      </x:c>
      <x:c r="E9" s="91" t="str">
        <x:v>晚市</x:v>
      </x:c>
      <x:c r="F9" s="91" t="str">
        <x:v>工作日周一</x:v>
      </x:c>
      <x:c r="G9" s="91" t="str">
        <x:v>降温</x:v>
      </x:c>
      <x:c r="H9" s="91" t="str">
        <x:v>团餐线索</x:v>
      </x:c>
      <x:c r="I9" s="108" t="n">
        <x:v>61</x:v>
      </x:c>
      <x:c r="J9" s="108" t="n">
        <x:v>68</x:v>
      </x:c>
      <x:c r="K9" s="108" t="n">
        <x:v>68</x:v>
      </x:c>
      <x:c r="L9" s="108" t="n">
        <x:v>71</x:v>
      </x:c>
      <x:c r="M9" s="108" t="str">
        <x:v>团餐尚未确认</x:v>
      </x:c>
      <x:c r="N9" s="108" t="n">
        <x:v>55</x:v>
      </x:c>
      <x:c r="O9" s="108" t="n">
        <x:v>82</x:v>
      </x:c>
      <x:c r="P9" s="108" t="n">
        <x:v>14</x:v>
      </x:c>
      <x:c r="Q9" s="91" t="str">
        <x:v>否</x:v>
      </x:c>
      <x:c r="R9" s="91" t="n">
        <x:v>3</x:v>
      </x:c>
      <x:c r="S9" s="91" t="str">
        <x:v>无</x:v>
      </x:c>
      <x:c r="T9" s="91" t="str">
        <x:v>模拟正常样本</x:v>
      </x:c>
      <x:c r="U9" s="91" t="n">
        <x:f>ABS(L9-N9)</x:f>
        <x:v>16</x:v>
      </x:c>
      <x:c r="V9" s="91" t="str">
        <x:f>IF(L9=K9,"沿用建议","人工调整")</x:f>
        <x:v>人工调整</x:v>
      </x:c>
      <x:c r="W9" s="92" t="str">
        <x:f>IF(Q9="是","售罄风险",IF(P9&gt;3,"损耗风险","正常"))</x:f>
        <x:v>损耗风险</x:v>
      </x:c>
    </x:row>
    <x:row r="10" ht="20" customHeight="1">
      <x:c r="A10" s="105" t="n">
        <x:v>46188</x:v>
      </x:c>
      <x:c r="B10" s="91" t="str">
        <x:v>模拟店 B（新开门店）</x:v>
      </x:c>
      <x:c r="C10" s="91" t="str">
        <x:v>新店</x:v>
      </x:c>
      <x:c r="D10" s="91" t="str">
        <x:v>粉蒸排骨</x:v>
      </x:c>
      <x:c r="E10" s="91" t="str">
        <x:v>晚市</x:v>
      </x:c>
      <x:c r="F10" s="91" t="str">
        <x:v>工作日周一</x:v>
      </x:c>
      <x:c r="G10" s="91" t="str">
        <x:v>降温</x:v>
      </x:c>
      <x:c r="H10" s="91" t="str">
        <x:v>团餐线索</x:v>
      </x:c>
      <x:c r="I10" s="108" t="n">
        <x:v>35</x:v>
      </x:c>
      <x:c r="J10" s="108" t="n">
        <x:v>39</x:v>
      </x:c>
      <x:c r="K10" s="108" t="n">
        <x:v>39</x:v>
      </x:c>
      <x:c r="L10" s="108" t="n">
        <x:v>39</x:v>
      </x:c>
      <x:c r="M10" s="108" t="str">
        <x:v>沿用建议</x:v>
      </x:c>
      <x:c r="N10" s="108" t="n">
        <x:v>33</x:v>
      </x:c>
      <x:c r="O10" s="108" t="n">
        <x:v>50</x:v>
      </x:c>
      <x:c r="P10" s="108" t="n">
        <x:v>4</x:v>
      </x:c>
      <x:c r="Q10" s="91" t="str">
        <x:v>否</x:v>
      </x:c>
      <x:c r="R10" s="91" t="n">
        <x:v>0</x:v>
      </x:c>
      <x:c r="S10" s="91" t="str">
        <x:v>无</x:v>
      </x:c>
      <x:c r="T10" s="91" t="str">
        <x:v>模拟正常样本</x:v>
      </x:c>
      <x:c r="U10" s="91" t="n">
        <x:f>ABS(L10-N10)</x:f>
        <x:v>6</x:v>
      </x:c>
      <x:c r="V10" s="91" t="str">
        <x:f>IF(L10=K10,"沿用建议","人工调整")</x:f>
        <x:v>沿用建议</x:v>
      </x:c>
      <x:c r="W10" s="92" t="str">
        <x:f>IF(Q10="是","售罄风险",IF(P10&gt;3,"损耗风险","正常"))</x:f>
        <x:v>损耗风险</x:v>
      </x:c>
    </x:row>
    <x:row r="11" ht="20" customHeight="1">
      <x:c r="A11" s="105" t="n">
        <x:v>46188</x:v>
      </x:c>
      <x:c r="B11" s="91" t="str">
        <x:v>模拟店 B（新开门店）</x:v>
      </x:c>
      <x:c r="C11" s="91" t="str">
        <x:v>新店</x:v>
      </x:c>
      <x:c r="D11" s="91" t="str">
        <x:v>桂花糖藕</x:v>
      </x:c>
      <x:c r="E11" s="91" t="str">
        <x:v>晚市</x:v>
      </x:c>
      <x:c r="F11" s="91" t="str">
        <x:v>工作日周一</x:v>
      </x:c>
      <x:c r="G11" s="91" t="str">
        <x:v>降温</x:v>
      </x:c>
      <x:c r="H11" s="91" t="str">
        <x:v>团餐线索</x:v>
      </x:c>
      <x:c r="I11" s="108" t="n">
        <x:v>22</x:v>
      </x:c>
      <x:c r="J11" s="108" t="n">
        <x:v>26</x:v>
      </x:c>
      <x:c r="K11" s="108" t="n">
        <x:v>26</x:v>
      </x:c>
      <x:c r="L11" s="108" t="n">
        <x:v>26</x:v>
      </x:c>
      <x:c r="M11" s="108" t="str">
        <x:v>沿用建议</x:v>
      </x:c>
      <x:c r="N11" s="108" t="n">
        <x:v>21</x:v>
      </x:c>
      <x:c r="O11" s="108" t="n">
        <x:v>37</x:v>
      </x:c>
      <x:c r="P11" s="108" t="n">
        <x:v>4</x:v>
      </x:c>
      <x:c r="Q11" s="91" t="str">
        <x:v>否</x:v>
      </x:c>
      <x:c r="R11" s="91" t="n">
        <x:v>2</x:v>
      </x:c>
      <x:c r="S11" s="91" t="str">
        <x:v>无</x:v>
      </x:c>
      <x:c r="T11" s="91" t="str">
        <x:v>模拟正常样本</x:v>
      </x:c>
      <x:c r="U11" s="91" t="n">
        <x:f>ABS(L11-N11)</x:f>
        <x:v>5</x:v>
      </x:c>
      <x:c r="V11" s="91" t="str">
        <x:f>IF(L11=K11,"沿用建议","人工调整")</x:f>
        <x:v>沿用建议</x:v>
      </x:c>
      <x:c r="W11" s="92" t="str">
        <x:f>IF(Q11="是","售罄风险",IF(P11&gt;3,"损耗风险","正常"))</x:f>
        <x:v>损耗风险</x:v>
      </x:c>
    </x:row>
    <x:row r="12" ht="20" customHeight="1">
      <x:c r="A12" s="105" t="n">
        <x:v>46188</x:v>
      </x:c>
      <x:c r="B12" s="91" t="str">
        <x:v>模拟店 B（新开门店）</x:v>
      </x:c>
      <x:c r="C12" s="91" t="str">
        <x:v>新店</x:v>
      </x:c>
      <x:c r="D12" s="91" t="str">
        <x:v>藕夹</x:v>
      </x:c>
      <x:c r="E12" s="91" t="str">
        <x:v>晚市</x:v>
      </x:c>
      <x:c r="F12" s="91" t="str">
        <x:v>工作日周一</x:v>
      </x:c>
      <x:c r="G12" s="91" t="str">
        <x:v>降温</x:v>
      </x:c>
      <x:c r="H12" s="91" t="str">
        <x:v>团餐线索</x:v>
      </x:c>
      <x:c r="I12" s="108" t="n">
        <x:v>27</x:v>
      </x:c>
      <x:c r="J12" s="108" t="n">
        <x:v>31</x:v>
      </x:c>
      <x:c r="K12" s="108" t="n">
        <x:v>31</x:v>
      </x:c>
      <x:c r="L12" s="108" t="n">
        <x:v>31</x:v>
      </x:c>
      <x:c r="M12" s="108" t="str">
        <x:v>沿用建议</x:v>
      </x:c>
      <x:c r="N12" s="108" t="n">
        <x:v>28</x:v>
      </x:c>
      <x:c r="O12" s="108" t="n">
        <x:v>41</x:v>
      </x:c>
      <x:c r="P12" s="108" t="n">
        <x:v>1</x:v>
      </x:c>
      <x:c r="Q12" s="91" t="str">
        <x:v>否</x:v>
      </x:c>
      <x:c r="R12" s="91" t="n">
        <x:v>3</x:v>
      </x:c>
      <x:c r="S12" s="91" t="str">
        <x:v>无</x:v>
      </x:c>
      <x:c r="T12" s="91" t="str">
        <x:v>模拟正常样本</x:v>
      </x:c>
      <x:c r="U12" s="91" t="n">
        <x:f>ABS(L12-N12)</x:f>
        <x:v>3</x:v>
      </x:c>
      <x:c r="V12" s="91" t="str">
        <x:f>IF(L12=K12,"沿用建议","人工调整")</x:f>
        <x:v>沿用建议</x:v>
      </x:c>
      <x:c r="W12" s="92" t="str">
        <x:f>IF(Q12="是","售罄风险",IF(P12&gt;3,"损耗风险","正常"))</x:f>
        <x:v>正常</x:v>
      </x:c>
    </x:row>
    <x:row r="13" ht="20" customHeight="1">
      <x:c r="A13" s="105" t="n">
        <x:v>46188</x:v>
      </x:c>
      <x:c r="B13" s="91" t="str">
        <x:v>模拟店 C（社区门店）</x:v>
      </x:c>
      <x:c r="C13" s="91" t="str">
        <x:v>成长期</x:v>
      </x:c>
      <x:c r="D13" s="91" t="str">
        <x:v>筒骨煨藕汤</x:v>
      </x:c>
      <x:c r="E13" s="91" t="str">
        <x:v>晚市</x:v>
      </x:c>
      <x:c r="F13" s="91" t="str">
        <x:v>工作日周一</x:v>
      </x:c>
      <x:c r="G13" s="91" t="str">
        <x:v>雨天</x:v>
      </x:c>
      <x:c r="H13" s="91" t="str">
        <x:v>团餐线索</x:v>
      </x:c>
      <x:c r="I13" s="108" t="n">
        <x:v>62</x:v>
      </x:c>
      <x:c r="J13" s="108" t="n">
        <x:v>70</x:v>
      </x:c>
      <x:c r="K13" s="108" t="n">
        <x:v>70</x:v>
      </x:c>
      <x:c r="L13" s="108" t="n">
        <x:v>73</x:v>
      </x:c>
      <x:c r="M13" s="108" t="str">
        <x:v>团餐尚未确认</x:v>
      </x:c>
      <x:c r="N13" s="108" t="n">
        <x:v>69</x:v>
      </x:c>
      <x:c r="O13" s="108" t="n">
        <x:v>84</x:v>
      </x:c>
      <x:c r="P13" s="108" t="n">
        <x:v>2</x:v>
      </x:c>
      <x:c r="Q13" s="91" t="str">
        <x:v>否</x:v>
      </x:c>
      <x:c r="R13" s="91" t="n">
        <x:v>0</x:v>
      </x:c>
      <x:c r="S13" s="91" t="str">
        <x:v>无</x:v>
      </x:c>
      <x:c r="T13" s="91" t="str">
        <x:v>模拟正常样本</x:v>
      </x:c>
      <x:c r="U13" s="91" t="n">
        <x:f>ABS(L13-N13)</x:f>
        <x:v>4</x:v>
      </x:c>
      <x:c r="V13" s="91" t="str">
        <x:f>IF(L13=K13,"沿用建议","人工调整")</x:f>
        <x:v>人工调整</x:v>
      </x:c>
      <x:c r="W13" s="92" t="str">
        <x:f>IF(Q13="是","售罄风险",IF(P13&gt;3,"损耗风险","正常"))</x:f>
        <x:v>正常</x:v>
      </x:c>
    </x:row>
    <x:row r="14" ht="20" customHeight="1">
      <x:c r="A14" s="105" t="n">
        <x:v>46188</x:v>
      </x:c>
      <x:c r="B14" s="91" t="str">
        <x:v>模拟店 C（社区门店）</x:v>
      </x:c>
      <x:c r="C14" s="91" t="str">
        <x:v>成长期</x:v>
      </x:c>
      <x:c r="D14" s="91" t="str">
        <x:v>粉蒸排骨</x:v>
      </x:c>
      <x:c r="E14" s="91" t="str">
        <x:v>晚市</x:v>
      </x:c>
      <x:c r="F14" s="91" t="str">
        <x:v>工作日周一</x:v>
      </x:c>
      <x:c r="G14" s="91" t="str">
        <x:v>雨天</x:v>
      </x:c>
      <x:c r="H14" s="91" t="str">
        <x:v>团餐线索</x:v>
      </x:c>
      <x:c r="I14" s="108" t="n">
        <x:v>35</x:v>
      </x:c>
      <x:c r="J14" s="108" t="n">
        <x:v>39</x:v>
      </x:c>
      <x:c r="K14" s="108" t="n">
        <x:v>39</x:v>
      </x:c>
      <x:c r="L14" s="108" t="n">
        <x:v>37</x:v>
      </x:c>
      <x:c r="M14" s="108" t="str">
        <x:v>团餐尚未确认</x:v>
      </x:c>
      <x:c r="N14" s="108" t="n">
        <x:v>34</x:v>
      </x:c>
      <x:c r="O14" s="108" t="n">
        <x:v>50</x:v>
      </x:c>
      <x:c r="P14" s="108" t="n">
        <x:v>1</x:v>
      </x:c>
      <x:c r="Q14" s="91" t="str">
        <x:v>否</x:v>
      </x:c>
      <x:c r="R14" s="91" t="n">
        <x:v>1</x:v>
      </x:c>
      <x:c r="S14" s="91" t="str">
        <x:v>无</x:v>
      </x:c>
      <x:c r="T14" s="91" t="str">
        <x:v>模拟正常样本</x:v>
      </x:c>
      <x:c r="U14" s="91" t="n">
        <x:f>ABS(L14-N14)</x:f>
        <x:v>3</x:v>
      </x:c>
      <x:c r="V14" s="91" t="str">
        <x:f>IF(L14=K14,"沿用建议","人工调整")</x:f>
        <x:v>人工调整</x:v>
      </x:c>
      <x:c r="W14" s="92" t="str">
        <x:f>IF(Q14="是","售罄风险",IF(P14&gt;3,"损耗风险","正常"))</x:f>
        <x:v>正常</x:v>
      </x:c>
    </x:row>
    <x:row r="15" ht="20" customHeight="1">
      <x:c r="A15" s="105" t="n">
        <x:v>46188</x:v>
      </x:c>
      <x:c r="B15" s="91" t="str">
        <x:v>模拟店 C（社区门店）</x:v>
      </x:c>
      <x:c r="C15" s="91" t="str">
        <x:v>成长期</x:v>
      </x:c>
      <x:c r="D15" s="91" t="str">
        <x:v>桂花糖藕</x:v>
      </x:c>
      <x:c r="E15" s="91" t="str">
        <x:v>晚市</x:v>
      </x:c>
      <x:c r="F15" s="91" t="str">
        <x:v>工作日周一</x:v>
      </x:c>
      <x:c r="G15" s="91" t="str">
        <x:v>雨天</x:v>
      </x:c>
      <x:c r="H15" s="91" t="str">
        <x:v>团餐线索</x:v>
      </x:c>
      <x:c r="I15" s="108" t="n">
        <x:v>23</x:v>
      </x:c>
      <x:c r="J15" s="108" t="n">
        <x:v>27</x:v>
      </x:c>
      <x:c r="K15" s="108" t="n">
        <x:v>27</x:v>
      </x:c>
      <x:c r="L15" s="108" t="n">
        <x:v>27</x:v>
      </x:c>
      <x:c r="M15" s="108" t="str">
        <x:v>沿用建议</x:v>
      </x:c>
      <x:c r="N15" s="108" t="n">
        <x:v>25</x:v>
      </x:c>
      <x:c r="O15" s="108" t="n">
        <x:v>39</x:v>
      </x:c>
      <x:c r="P15" s="108" t="n">
        <x:v>1</x:v>
      </x:c>
      <x:c r="Q15" s="91" t="str">
        <x:v>否</x:v>
      </x:c>
      <x:c r="R15" s="91" t="n">
        <x:v>3</x:v>
      </x:c>
      <x:c r="S15" s="91" t="str">
        <x:v>无</x:v>
      </x:c>
      <x:c r="T15" s="91" t="str">
        <x:v>模拟正常样本</x:v>
      </x:c>
      <x:c r="U15" s="91" t="n">
        <x:f>ABS(L15-N15)</x:f>
        <x:v>2</x:v>
      </x:c>
      <x:c r="V15" s="91" t="str">
        <x:f>IF(L15=K15,"沿用建议","人工调整")</x:f>
        <x:v>沿用建议</x:v>
      </x:c>
      <x:c r="W15" s="92" t="str">
        <x:f>IF(Q15="是","售罄风险",IF(P15&gt;3,"损耗风险","正常"))</x:f>
        <x:v>正常</x:v>
      </x:c>
    </x:row>
    <x:row r="16" ht="20" customHeight="1">
      <x:c r="A16" s="105" t="n">
        <x:v>46188</x:v>
      </x:c>
      <x:c r="B16" s="91" t="str">
        <x:v>模拟店 C（社区门店）</x:v>
      </x:c>
      <x:c r="C16" s="91" t="str">
        <x:v>成长期</x:v>
      </x:c>
      <x:c r="D16" s="91" t="str">
        <x:v>藕夹</x:v>
      </x:c>
      <x:c r="E16" s="91" t="str">
        <x:v>晚市</x:v>
      </x:c>
      <x:c r="F16" s="91" t="str">
        <x:v>工作日周一</x:v>
      </x:c>
      <x:c r="G16" s="91" t="str">
        <x:v>雨天</x:v>
      </x:c>
      <x:c r="H16" s="91" t="str">
        <x:v>团餐线索</x:v>
      </x:c>
      <x:c r="I16" s="108" t="n">
        <x:v>30</x:v>
      </x:c>
      <x:c r="J16" s="108" t="n">
        <x:v>34</x:v>
      </x:c>
      <x:c r="K16" s="108" t="n">
        <x:v>34</x:v>
      </x:c>
      <x:c r="L16" s="108" t="n">
        <x:v>34</x:v>
      </x:c>
      <x:c r="M16" s="108" t="str">
        <x:v>沿用建议</x:v>
      </x:c>
      <x:c r="N16" s="108" t="n">
        <x:v>30</x:v>
      </x:c>
      <x:c r="O16" s="108" t="n">
        <x:v>47</x:v>
      </x:c>
      <x:c r="P16" s="108" t="n">
        <x:v>2</x:v>
      </x:c>
      <x:c r="Q16" s="91" t="str">
        <x:v>否</x:v>
      </x:c>
      <x:c r="R16" s="91" t="n">
        <x:v>1</x:v>
      </x:c>
      <x:c r="S16" s="91" t="str">
        <x:v>无</x:v>
      </x:c>
      <x:c r="T16" s="91" t="str">
        <x:v>模拟正常样本</x:v>
      </x:c>
      <x:c r="U16" s="91" t="n">
        <x:f>ABS(L16-N16)</x:f>
        <x:v>4</x:v>
      </x:c>
      <x:c r="V16" s="91" t="str">
        <x:f>IF(L16=K16,"沿用建议","人工调整")</x:f>
        <x:v>沿用建议</x:v>
      </x:c>
      <x:c r="W16" s="92" t="str">
        <x:f>IF(Q16="是","售罄风险",IF(P16&gt;3,"损耗风险","正常"))</x:f>
        <x:v>正常</x:v>
      </x:c>
    </x:row>
    <x:row r="17" ht="20" customHeight="1">
      <x:c r="A17" s="105" t="n">
        <x:v>46189</x:v>
      </x:c>
      <x:c r="B17" s="91" t="str">
        <x:v>模拟店 A（成熟商圈）</x:v>
      </x:c>
      <x:c r="C17" s="91" t="str">
        <x:v>成熟店</x:v>
      </x:c>
      <x:c r="D17" s="91" t="str">
        <x:v>筒骨煨藕汤</x:v>
      </x:c>
      <x:c r="E17" s="91" t="str">
        <x:v>晚市</x:v>
      </x:c>
      <x:c r="F17" s="91" t="str">
        <x:v>工作日周二</x:v>
      </x:c>
      <x:c r="G17" s="91" t="str">
        <x:v>降温</x:v>
      </x:c>
      <x:c r="H17" s="91" t="str">
        <x:v>无</x:v>
      </x:c>
      <x:c r="I17" s="108" t="n">
        <x:v>74</x:v>
      </x:c>
      <x:c r="J17" s="108" t="n">
        <x:v>83</x:v>
      </x:c>
      <x:c r="K17" s="108" t="n">
        <x:v>83</x:v>
      </x:c>
      <x:c r="L17" s="108" t="n">
        <x:v>83</x:v>
      </x:c>
      <x:c r="M17" s="108" t="str">
        <x:v>沿用建议</x:v>
      </x:c>
      <x:c r="N17" s="108" t="n">
        <x:v>77</x:v>
      </x:c>
      <x:c r="O17" s="108" t="n">
        <x:v>98</x:v>
      </x:c>
      <x:c r="P17" s="108" t="n">
        <x:v>4</x:v>
      </x:c>
      <x:c r="Q17" s="91" t="str">
        <x:v>否</x:v>
      </x:c>
      <x:c r="R17" s="91" t="n">
        <x:v>2</x:v>
      </x:c>
      <x:c r="S17" s="91" t="str">
        <x:v>无</x:v>
      </x:c>
      <x:c r="T17" s="91" t="str">
        <x:v>模拟正常样本</x:v>
      </x:c>
      <x:c r="U17" s="91" t="n">
        <x:f>ABS(L17-N17)</x:f>
        <x:v>6</x:v>
      </x:c>
      <x:c r="V17" s="91" t="str">
        <x:f>IF(L17=K17,"沿用建议","人工调整")</x:f>
        <x:v>沿用建议</x:v>
      </x:c>
      <x:c r="W17" s="92" t="str">
        <x:f>IF(Q17="是","售罄风险",IF(P17&gt;3,"损耗风险","正常"))</x:f>
        <x:v>损耗风险</x:v>
      </x:c>
    </x:row>
    <x:row r="18" ht="20" customHeight="1">
      <x:c r="A18" s="105" t="n">
        <x:v>46189</x:v>
      </x:c>
      <x:c r="B18" s="91" t="str">
        <x:v>模拟店 A（成熟商圈）</x:v>
      </x:c>
      <x:c r="C18" s="91" t="str">
        <x:v>成熟店</x:v>
      </x:c>
      <x:c r="D18" s="91" t="str">
        <x:v>粉蒸排骨</x:v>
      </x:c>
      <x:c r="E18" s="91" t="str">
        <x:v>晚市</x:v>
      </x:c>
      <x:c r="F18" s="91" t="str">
        <x:v>工作日周二</x:v>
      </x:c>
      <x:c r="G18" s="91" t="str">
        <x:v>降温</x:v>
      </x:c>
      <x:c r="H18" s="91" t="str">
        <x:v>无</x:v>
      </x:c>
      <x:c r="I18" s="108" t="n">
        <x:v>42</x:v>
      </x:c>
      <x:c r="J18" s="108" t="n">
        <x:v>46</x:v>
      </x:c>
      <x:c r="K18" s="108" t="n">
        <x:v>46</x:v>
      </x:c>
      <x:c r="L18" s="108" t="n">
        <x:v>46</x:v>
      </x:c>
      <x:c r="M18" s="108" t="str">
        <x:v>沿用建议</x:v>
      </x:c>
      <x:c r="N18" s="108" t="n">
        <x:v>42</x:v>
      </x:c>
      <x:c r="O18" s="108" t="n">
        <x:v>55</x:v>
      </x:c>
      <x:c r="P18" s="108" t="n">
        <x:v>2</x:v>
      </x:c>
      <x:c r="Q18" s="91" t="str">
        <x:v>否</x:v>
      </x:c>
      <x:c r="R18" s="91" t="n">
        <x:v>0</x:v>
      </x:c>
      <x:c r="S18" s="91" t="str">
        <x:v>无</x:v>
      </x:c>
      <x:c r="T18" s="91" t="str">
        <x:v>模拟正常样本</x:v>
      </x:c>
      <x:c r="U18" s="91" t="n">
        <x:f>ABS(L18-N18)</x:f>
        <x:v>4</x:v>
      </x:c>
      <x:c r="V18" s="91" t="str">
        <x:f>IF(L18=K18,"沿用建议","人工调整")</x:f>
        <x:v>沿用建议</x:v>
      </x:c>
      <x:c r="W18" s="92" t="str">
        <x:f>IF(Q18="是","售罄风险",IF(P18&gt;3,"损耗风险","正常"))</x:f>
        <x:v>正常</x:v>
      </x:c>
    </x:row>
    <x:row r="19" ht="20" customHeight="1">
      <x:c r="A19" s="105" t="n">
        <x:v>46189</x:v>
      </x:c>
      <x:c r="B19" s="91" t="str">
        <x:v>模拟店 A（成熟商圈）</x:v>
      </x:c>
      <x:c r="C19" s="91" t="str">
        <x:v>成熟店</x:v>
      </x:c>
      <x:c r="D19" s="91" t="str">
        <x:v>桂花糖藕</x:v>
      </x:c>
      <x:c r="E19" s="91" t="str">
        <x:v>晚市</x:v>
      </x:c>
      <x:c r="F19" s="91" t="str">
        <x:v>工作日周二</x:v>
      </x:c>
      <x:c r="G19" s="91" t="str">
        <x:v>降温</x:v>
      </x:c>
      <x:c r="H19" s="91" t="str">
        <x:v>无</x:v>
      </x:c>
      <x:c r="I19" s="108" t="n">
        <x:v>29</x:v>
      </x:c>
      <x:c r="J19" s="108" t="n">
        <x:v>33</x:v>
      </x:c>
      <x:c r="K19" s="108" t="n">
        <x:v>33</x:v>
      </x:c>
      <x:c r="L19" s="108" t="n">
        <x:v>36</x:v>
      </x:c>
      <x:c r="M19" s="108" t="str">
        <x:v>当班经验判断</x:v>
      </x:c>
      <x:c r="N19" s="108" t="n">
        <x:v>32</x:v>
      </x:c>
      <x:c r="O19" s="108" t="n">
        <x:v>47</x:v>
      </x:c>
      <x:c r="P19" s="108" t="n">
        <x:v>3</x:v>
      </x:c>
      <x:c r="Q19" s="91" t="str">
        <x:v>否</x:v>
      </x:c>
      <x:c r="R19" s="91" t="n">
        <x:v>1</x:v>
      </x:c>
      <x:c r="S19" s="91" t="str">
        <x:v>无</x:v>
      </x:c>
      <x:c r="T19" s="91" t="str">
        <x:v>模拟正常样本</x:v>
      </x:c>
      <x:c r="U19" s="91" t="n">
        <x:f>ABS(L19-N19)</x:f>
        <x:v>4</x:v>
      </x:c>
      <x:c r="V19" s="91" t="str">
        <x:f>IF(L19=K19,"沿用建议","人工调整")</x:f>
        <x:v>人工调整</x:v>
      </x:c>
      <x:c r="W19" s="92" t="str">
        <x:f>IF(Q19="是","售罄风险",IF(P19&gt;3,"损耗风险","正常"))</x:f>
        <x:v>正常</x:v>
      </x:c>
    </x:row>
    <x:row r="20" ht="20" customHeight="1">
      <x:c r="A20" s="105" t="n">
        <x:v>46189</x:v>
      </x:c>
      <x:c r="B20" s="91" t="str">
        <x:v>模拟店 A（成熟商圈）</x:v>
      </x:c>
      <x:c r="C20" s="91" t="str">
        <x:v>成熟店</x:v>
      </x:c>
      <x:c r="D20" s="91" t="str">
        <x:v>藕夹</x:v>
      </x:c>
      <x:c r="E20" s="91" t="str">
        <x:v>晚市</x:v>
      </x:c>
      <x:c r="F20" s="91" t="str">
        <x:v>工作日周二</x:v>
      </x:c>
      <x:c r="G20" s="91" t="str">
        <x:v>降温</x:v>
      </x:c>
      <x:c r="H20" s="91" t="str">
        <x:v>无</x:v>
      </x:c>
      <x:c r="I20" s="108" t="n">
        <x:v>33</x:v>
      </x:c>
      <x:c r="J20" s="108" t="n">
        <x:v>37</x:v>
      </x:c>
      <x:c r="K20" s="108" t="n">
        <x:v>37</x:v>
      </x:c>
      <x:c r="L20" s="108" t="n">
        <x:v>37</x:v>
      </x:c>
      <x:c r="M20" s="108" t="str">
        <x:v>沿用建议</x:v>
      </x:c>
      <x:c r="N20" s="108" t="n">
        <x:v>32</x:v>
      </x:c>
      <x:c r="O20" s="108" t="n">
        <x:v>45</x:v>
      </x:c>
      <x:c r="P20" s="108" t="n">
        <x:v>3</x:v>
      </x:c>
      <x:c r="Q20" s="91" t="str">
        <x:v>否</x:v>
      </x:c>
      <x:c r="R20" s="91" t="n">
        <x:v>3</x:v>
      </x:c>
      <x:c r="S20" s="91" t="str">
        <x:v>无</x:v>
      </x:c>
      <x:c r="T20" s="91" t="str">
        <x:v>模拟正常样本</x:v>
      </x:c>
      <x:c r="U20" s="91" t="n">
        <x:f>ABS(L20-N20)</x:f>
        <x:v>5</x:v>
      </x:c>
      <x:c r="V20" s="91" t="str">
        <x:f>IF(L20=K20,"沿用建议","人工调整")</x:f>
        <x:v>沿用建议</x:v>
      </x:c>
      <x:c r="W20" s="92" t="str">
        <x:f>IF(Q20="是","售罄风险",IF(P20&gt;3,"损耗风险","正常"))</x:f>
        <x:v>正常</x:v>
      </x:c>
    </x:row>
    <x:row r="21" ht="20" customHeight="1">
      <x:c r="A21" s="105" t="n">
        <x:v>46189</x:v>
      </x:c>
      <x:c r="B21" s="91" t="str">
        <x:v>模拟店 B（新开门店）</x:v>
      </x:c>
      <x:c r="C21" s="91" t="str">
        <x:v>新店</x:v>
      </x:c>
      <x:c r="D21" s="91" t="str">
        <x:v>筒骨煨藕汤</x:v>
      </x:c>
      <x:c r="E21" s="91" t="str">
        <x:v>晚市</x:v>
      </x:c>
      <x:c r="F21" s="91" t="str">
        <x:v>工作日周二</x:v>
      </x:c>
      <x:c r="G21" s="91" t="str">
        <x:v>雨天</x:v>
      </x:c>
      <x:c r="H21" s="91" t="str">
        <x:v>无</x:v>
      </x:c>
      <x:c r="I21" s="108" t="n">
        <x:v>56</x:v>
      </x:c>
      <x:c r="J21" s="108" t="n">
        <x:v>63</x:v>
      </x:c>
      <x:c r="K21" s="108" t="n">
        <x:v>63</x:v>
      </x:c>
      <x:c r="L21" s="108" t="n">
        <x:v>63</x:v>
      </x:c>
      <x:c r="M21" s="108" t="str">
        <x:v>沿用建议</x:v>
      </x:c>
      <x:c r="N21" s="108" t="n">
        <x:v>52</x:v>
      </x:c>
      <x:c r="O21" s="108" t="n">
        <x:v>70</x:v>
      </x:c>
      <x:c r="P21" s="108" t="n">
        <x:v>9</x:v>
      </x:c>
      <x:c r="Q21" s="91" t="str">
        <x:v>否</x:v>
      </x:c>
      <x:c r="R21" s="91" t="n">
        <x:v>3</x:v>
      </x:c>
      <x:c r="S21" s="91" t="str">
        <x:v>无</x:v>
      </x:c>
      <x:c r="T21" s="91" t="str">
        <x:v>模拟正常样本</x:v>
      </x:c>
      <x:c r="U21" s="91" t="n">
        <x:f>ABS(L21-N21)</x:f>
        <x:v>11</x:v>
      </x:c>
      <x:c r="V21" s="91" t="str">
        <x:f>IF(L21=K21,"沿用建议","人工调整")</x:f>
        <x:v>沿用建议</x:v>
      </x:c>
      <x:c r="W21" s="92" t="str">
        <x:f>IF(Q21="是","售罄风险",IF(P21&gt;3,"损耗风险","正常"))</x:f>
        <x:v>损耗风险</x:v>
      </x:c>
    </x:row>
    <x:row r="22" ht="20" customHeight="1">
      <x:c r="A22" s="105" t="n">
        <x:v>46189</x:v>
      </x:c>
      <x:c r="B22" s="91" t="str">
        <x:v>模拟店 B（新开门店）</x:v>
      </x:c>
      <x:c r="C22" s="91" t="str">
        <x:v>新店</x:v>
      </x:c>
      <x:c r="D22" s="91" t="str">
        <x:v>粉蒸排骨</x:v>
      </x:c>
      <x:c r="E22" s="91" t="str">
        <x:v>晚市</x:v>
      </x:c>
      <x:c r="F22" s="91" t="str">
        <x:v>工作日周二</x:v>
      </x:c>
      <x:c r="G22" s="91" t="str">
        <x:v>雨天</x:v>
      </x:c>
      <x:c r="H22" s="91" t="str">
        <x:v>无</x:v>
      </x:c>
      <x:c r="I22" s="108" t="n">
        <x:v>29</x:v>
      </x:c>
      <x:c r="J22" s="108" t="n">
        <x:v>32</x:v>
      </x:c>
      <x:c r="K22" s="108" t="n">
        <x:v>32</x:v>
      </x:c>
      <x:c r="L22" s="108" t="n">
        <x:v>32</x:v>
      </x:c>
      <x:c r="M22" s="108" t="str">
        <x:v>沿用建议</x:v>
      </x:c>
      <x:c r="N22" s="108" t="n">
        <x:v>30</x:v>
      </x:c>
      <x:c r="O22" s="108" t="n">
        <x:v>40</x:v>
      </x:c>
      <x:c r="P22" s="108" t="n">
        <x:v>0</x:v>
      </x:c>
      <x:c r="Q22" s="91" t="str">
        <x:v>否</x:v>
      </x:c>
      <x:c r="R22" s="91" t="n">
        <x:v>2</x:v>
      </x:c>
      <x:c r="S22" s="91" t="str">
        <x:v>无</x:v>
      </x:c>
      <x:c r="T22" s="91" t="str">
        <x:v>模拟正常样本</x:v>
      </x:c>
      <x:c r="U22" s="91" t="n">
        <x:f>ABS(L22-N22)</x:f>
        <x:v>2</x:v>
      </x:c>
      <x:c r="V22" s="91" t="str">
        <x:f>IF(L22=K22,"沿用建议","人工调整")</x:f>
        <x:v>沿用建议</x:v>
      </x:c>
      <x:c r="W22" s="92" t="str">
        <x:f>IF(Q22="是","售罄风险",IF(P22&gt;3,"损耗风险","正常"))</x:f>
        <x:v>正常</x:v>
      </x:c>
    </x:row>
    <x:row r="23" ht="20" customHeight="1">
      <x:c r="A23" s="105" t="n">
        <x:v>46189</x:v>
      </x:c>
      <x:c r="B23" s="91" t="str">
        <x:v>模拟店 B（新开门店）</x:v>
      </x:c>
      <x:c r="C23" s="91" t="str">
        <x:v>新店</x:v>
      </x:c>
      <x:c r="D23" s="91" t="str">
        <x:v>桂花糖藕</x:v>
      </x:c>
      <x:c r="E23" s="91" t="str">
        <x:v>晚市</x:v>
      </x:c>
      <x:c r="F23" s="91" t="str">
        <x:v>工作日周二</x:v>
      </x:c>
      <x:c r="G23" s="91" t="str">
        <x:v>雨天</x:v>
      </x:c>
      <x:c r="H23" s="91" t="str">
        <x:v>无</x:v>
      </x:c>
      <x:c r="I23" s="108" t="n">
        <x:v>20</x:v>
      </x:c>
      <x:c r="J23" s="108" t="n">
        <x:v>24</x:v>
      </x:c>
      <x:c r="K23" s="108" t="n">
        <x:v>24</x:v>
      </x:c>
      <x:c r="L23" s="108" t="n">
        <x:v>24</x:v>
      </x:c>
      <x:c r="M23" s="108" t="str">
        <x:v>沿用建议</x:v>
      </x:c>
      <x:c r="N23" s="108" t="n">
        <x:v>20</x:v>
      </x:c>
      <x:c r="O23" s="108" t="n">
        <x:v>36</x:v>
      </x:c>
      <x:c r="P23" s="108" t="n">
        <x:v>3</x:v>
      </x:c>
      <x:c r="Q23" s="91" t="str">
        <x:v>否</x:v>
      </x:c>
      <x:c r="R23" s="91" t="n">
        <x:v>0</x:v>
      </x:c>
      <x:c r="S23" s="91" t="str">
        <x:v>无</x:v>
      </x:c>
      <x:c r="T23" s="91" t="str">
        <x:v>模拟正常样本</x:v>
      </x:c>
      <x:c r="U23" s="91" t="n">
        <x:f>ABS(L23-N23)</x:f>
        <x:v>4</x:v>
      </x:c>
      <x:c r="V23" s="91" t="str">
        <x:f>IF(L23=K23,"沿用建议","人工调整")</x:f>
        <x:v>沿用建议</x:v>
      </x:c>
      <x:c r="W23" s="92" t="str">
        <x:f>IF(Q23="是","售罄风险",IF(P23&gt;3,"损耗风险","正常"))</x:f>
        <x:v>正常</x:v>
      </x:c>
    </x:row>
    <x:row r="24" ht="20" customHeight="1">
      <x:c r="A24" s="105" t="n">
        <x:v>46189</x:v>
      </x:c>
      <x:c r="B24" s="91" t="str">
        <x:v>模拟店 B（新开门店）</x:v>
      </x:c>
      <x:c r="C24" s="91" t="str">
        <x:v>新店</x:v>
      </x:c>
      <x:c r="D24" s="91" t="str">
        <x:v>藕夹</x:v>
      </x:c>
      <x:c r="E24" s="91" t="str">
        <x:v>晚市</x:v>
      </x:c>
      <x:c r="F24" s="91" t="str">
        <x:v>工作日周二</x:v>
      </x:c>
      <x:c r="G24" s="91" t="str">
        <x:v>雨天</x:v>
      </x:c>
      <x:c r="H24" s="91" t="str">
        <x:v>无</x:v>
      </x:c>
      <x:c r="I24" s="108" t="n">
        <x:v>24</x:v>
      </x:c>
      <x:c r="J24" s="108" t="n">
        <x:v>27</x:v>
      </x:c>
      <x:c r="K24" s="108" t="n">
        <x:v>27</x:v>
      </x:c>
      <x:c r="L24" s="108" t="n">
        <x:v>27</x:v>
      </x:c>
      <x:c r="M24" s="108" t="str">
        <x:v>沿用建议</x:v>
      </x:c>
      <x:c r="N24" s="108" t="n">
        <x:v>25</x:v>
      </x:c>
      <x:c r="O24" s="108" t="n">
        <x:v>42</x:v>
      </x:c>
      <x:c r="P24" s="108" t="n">
        <x:v>0</x:v>
      </x:c>
      <x:c r="Q24" s="91" t="str">
        <x:v>否</x:v>
      </x:c>
      <x:c r="R24" s="91" t="n">
        <x:v>3</x:v>
      </x:c>
      <x:c r="S24" s="91" t="str">
        <x:v>无</x:v>
      </x:c>
      <x:c r="T24" s="91" t="str">
        <x:v>模拟正常样本</x:v>
      </x:c>
      <x:c r="U24" s="91" t="n">
        <x:f>ABS(L24-N24)</x:f>
        <x:v>2</x:v>
      </x:c>
      <x:c r="V24" s="91" t="str">
        <x:f>IF(L24=K24,"沿用建议","人工调整")</x:f>
        <x:v>沿用建议</x:v>
      </x:c>
      <x:c r="W24" s="92" t="str">
        <x:f>IF(Q24="是","售罄风险",IF(P24&gt;3,"损耗风险","正常"))</x:f>
        <x:v>正常</x:v>
      </x:c>
    </x:row>
    <x:row r="25" ht="20" customHeight="1">
      <x:c r="A25" s="105" t="n">
        <x:v>46189</x:v>
      </x:c>
      <x:c r="B25" s="91" t="str">
        <x:v>模拟店 C（社区门店）</x:v>
      </x:c>
      <x:c r="C25" s="91" t="str">
        <x:v>成长期</x:v>
      </x:c>
      <x:c r="D25" s="91" t="str">
        <x:v>筒骨煨藕汤</x:v>
      </x:c>
      <x:c r="E25" s="91" t="str">
        <x:v>晚市</x:v>
      </x:c>
      <x:c r="F25" s="91" t="str">
        <x:v>工作日周二</x:v>
      </x:c>
      <x:c r="G25" s="91" t="str">
        <x:v>常温</x:v>
      </x:c>
      <x:c r="H25" s="91" t="str">
        <x:v>无</x:v>
      </x:c>
      <x:c r="I25" s="108" t="n">
        <x:v>60</x:v>
      </x:c>
      <x:c r="J25" s="108" t="n">
        <x:v>67</x:v>
      </x:c>
      <x:c r="K25" s="108" t="n">
        <x:v>67</x:v>
      </x:c>
      <x:c r="L25" s="108" t="n">
        <x:v>67</x:v>
      </x:c>
      <x:c r="M25" s="108" t="str">
        <x:v>沿用建议</x:v>
      </x:c>
      <x:c r="N25" s="108" t="n">
        <x:v>57</x:v>
      </x:c>
      <x:c r="O25" s="108" t="n">
        <x:v>81</x:v>
      </x:c>
      <x:c r="P25" s="108" t="n">
        <x:v>8</x:v>
      </x:c>
      <x:c r="Q25" s="91" t="str">
        <x:v>否</x:v>
      </x:c>
      <x:c r="R25" s="91" t="n">
        <x:v>2</x:v>
      </x:c>
      <x:c r="S25" s="91" t="str">
        <x:v>无</x:v>
      </x:c>
      <x:c r="T25" s="91" t="str">
        <x:v>模拟正常样本</x:v>
      </x:c>
      <x:c r="U25" s="91" t="n">
        <x:f>ABS(L25-N25)</x:f>
        <x:v>10</x:v>
      </x:c>
      <x:c r="V25" s="91" t="str">
        <x:f>IF(L25=K25,"沿用建议","人工调整")</x:f>
        <x:v>沿用建议</x:v>
      </x:c>
      <x:c r="W25" s="92" t="str">
        <x:f>IF(Q25="是","售罄风险",IF(P25&gt;3,"损耗风险","正常"))</x:f>
        <x:v>损耗风险</x:v>
      </x:c>
    </x:row>
    <x:row r="26" ht="20" customHeight="1">
      <x:c r="A26" s="105" t="n">
        <x:v>46189</x:v>
      </x:c>
      <x:c r="B26" s="91" t="str">
        <x:v>模拟店 C（社区门店）</x:v>
      </x:c>
      <x:c r="C26" s="91" t="str">
        <x:v>成长期</x:v>
      </x:c>
      <x:c r="D26" s="91" t="str">
        <x:v>粉蒸排骨</x:v>
      </x:c>
      <x:c r="E26" s="91" t="str">
        <x:v>晚市</x:v>
      </x:c>
      <x:c r="F26" s="91" t="str">
        <x:v>工作日周二</x:v>
      </x:c>
      <x:c r="G26" s="91" t="str">
        <x:v>常温</x:v>
      </x:c>
      <x:c r="H26" s="91" t="str">
        <x:v>无</x:v>
      </x:c>
      <x:c r="I26" s="108" t="n">
        <x:v>34</x:v>
      </x:c>
      <x:c r="J26" s="108" t="n">
        <x:v>38</x:v>
      </x:c>
      <x:c r="K26" s="108" t="n">
        <x:v>38</x:v>
      </x:c>
      <x:c r="L26" s="108" t="n">
        <x:v>38</x:v>
      </x:c>
      <x:c r="M26" s="108" t="str">
        <x:v>沿用建议</x:v>
      </x:c>
      <x:c r="N26" s="108" t="n">
        <x:v>35</x:v>
      </x:c>
      <x:c r="O26" s="108" t="n">
        <x:v>48</x:v>
      </x:c>
      <x:c r="P26" s="108" t="n">
        <x:v>1</x:v>
      </x:c>
      <x:c r="Q26" s="91" t="str">
        <x:v>否</x:v>
      </x:c>
      <x:c r="R26" s="91" t="n">
        <x:v>2</x:v>
      </x:c>
      <x:c r="S26" s="91" t="str">
        <x:v>无</x:v>
      </x:c>
      <x:c r="T26" s="91" t="str">
        <x:v>模拟正常样本</x:v>
      </x:c>
      <x:c r="U26" s="91" t="n">
        <x:f>ABS(L26-N26)</x:f>
        <x:v>3</x:v>
      </x:c>
      <x:c r="V26" s="91" t="str">
        <x:f>IF(L26=K26,"沿用建议","人工调整")</x:f>
        <x:v>沿用建议</x:v>
      </x:c>
      <x:c r="W26" s="92" t="str">
        <x:f>IF(Q26="是","售罄风险",IF(P26&gt;3,"损耗风险","正常"))</x:f>
        <x:v>正常</x:v>
      </x:c>
    </x:row>
    <x:row r="27" ht="20" customHeight="1">
      <x:c r="A27" s="105" t="n">
        <x:v>46189</x:v>
      </x:c>
      <x:c r="B27" s="91" t="str">
        <x:v>模拟店 C（社区门店）</x:v>
      </x:c>
      <x:c r="C27" s="91" t="str">
        <x:v>成长期</x:v>
      </x:c>
      <x:c r="D27" s="91" t="str">
        <x:v>桂花糖藕</x:v>
      </x:c>
      <x:c r="E27" s="91" t="str">
        <x:v>晚市</x:v>
      </x:c>
      <x:c r="F27" s="91" t="str">
        <x:v>工作日周二</x:v>
      </x:c>
      <x:c r="G27" s="91" t="str">
        <x:v>常温</x:v>
      </x:c>
      <x:c r="H27" s="91" t="str">
        <x:v>无</x:v>
      </x:c>
      <x:c r="I27" s="108" t="n">
        <x:v>23</x:v>
      </x:c>
      <x:c r="J27" s="108" t="n">
        <x:v>27</x:v>
      </x:c>
      <x:c r="K27" s="108" t="n">
        <x:v>27</x:v>
      </x:c>
      <x:c r="L27" s="108" t="n">
        <x:v>27</x:v>
      </x:c>
      <x:c r="M27" s="108" t="str">
        <x:v>沿用建议</x:v>
      </x:c>
      <x:c r="N27" s="108" t="n">
        <x:v>21</x:v>
      </x:c>
      <x:c r="O27" s="108" t="n">
        <x:v>37</x:v>
      </x:c>
      <x:c r="P27" s="108" t="n">
        <x:v>5</x:v>
      </x:c>
      <x:c r="Q27" s="91" t="str">
        <x:v>否</x:v>
      </x:c>
      <x:c r="R27" s="91" t="n">
        <x:v>2</x:v>
      </x:c>
      <x:c r="S27" s="91" t="str">
        <x:v>无</x:v>
      </x:c>
      <x:c r="T27" s="91" t="str">
        <x:v>模拟正常样本</x:v>
      </x:c>
      <x:c r="U27" s="91" t="n">
        <x:f>ABS(L27-N27)</x:f>
        <x:v>6</x:v>
      </x:c>
      <x:c r="V27" s="91" t="str">
        <x:f>IF(L27=K27,"沿用建议","人工调整")</x:f>
        <x:v>沿用建议</x:v>
      </x:c>
      <x:c r="W27" s="92" t="str">
        <x:f>IF(Q27="是","售罄风险",IF(P27&gt;3,"损耗风险","正常"))</x:f>
        <x:v>损耗风险</x:v>
      </x:c>
    </x:row>
    <x:row r="28" ht="20" customHeight="1">
      <x:c r="A28" s="105" t="n">
        <x:v>46189</x:v>
      </x:c>
      <x:c r="B28" s="91" t="str">
        <x:v>模拟店 C（社区门店）</x:v>
      </x:c>
      <x:c r="C28" s="91" t="str">
        <x:v>成长期</x:v>
      </x:c>
      <x:c r="D28" s="91" t="str">
        <x:v>藕夹</x:v>
      </x:c>
      <x:c r="E28" s="91" t="str">
        <x:v>晚市</x:v>
      </x:c>
      <x:c r="F28" s="91" t="str">
        <x:v>工作日周二</x:v>
      </x:c>
      <x:c r="G28" s="91" t="str">
        <x:v>常温</x:v>
      </x:c>
      <x:c r="H28" s="91" t="str">
        <x:v>无</x:v>
      </x:c>
      <x:c r="I28" s="108" t="n">
        <x:v>27</x:v>
      </x:c>
      <x:c r="J28" s="108" t="n">
        <x:v>31</x:v>
      </x:c>
      <x:c r="K28" s="108" t="n">
        <x:v>31</x:v>
      </x:c>
      <x:c r="L28" s="108" t="n">
        <x:v>29</x:v>
      </x:c>
      <x:c r="M28" s="108" t="str">
        <x:v>当班经验判断</x:v>
      </x:c>
      <x:c r="N28" s="108" t="n">
        <x:v>26</x:v>
      </x:c>
      <x:c r="O28" s="108" t="n">
        <x:v>42</x:v>
      </x:c>
      <x:c r="P28" s="108" t="n">
        <x:v>1</x:v>
      </x:c>
      <x:c r="Q28" s="91" t="str">
        <x:v>否</x:v>
      </x:c>
      <x:c r="R28" s="91" t="n">
        <x:v>3</x:v>
      </x:c>
      <x:c r="S28" s="91" t="str">
        <x:v>无</x:v>
      </x:c>
      <x:c r="T28" s="91" t="str">
        <x:v>模拟正常样本</x:v>
      </x:c>
      <x:c r="U28" s="91" t="n">
        <x:f>ABS(L28-N28)</x:f>
        <x:v>3</x:v>
      </x:c>
      <x:c r="V28" s="91" t="str">
        <x:f>IF(L28=K28,"沿用建议","人工调整")</x:f>
        <x:v>人工调整</x:v>
      </x:c>
      <x:c r="W28" s="92" t="str">
        <x:f>IF(Q28="是","售罄风险",IF(P28&gt;3,"损耗风险","正常"))</x:f>
        <x:v>正常</x:v>
      </x:c>
    </x:row>
    <x:row r="29" ht="20" customHeight="1">
      <x:c r="A29" s="105" t="n">
        <x:v>46190</x:v>
      </x:c>
      <x:c r="B29" s="91" t="str">
        <x:v>模拟店 A（成熟商圈）</x:v>
      </x:c>
      <x:c r="C29" s="91" t="str">
        <x:v>成熟店</x:v>
      </x:c>
      <x:c r="D29" s="91" t="str">
        <x:v>筒骨煨藕汤</x:v>
      </x:c>
      <x:c r="E29" s="91" t="str">
        <x:v>晚市</x:v>
      </x:c>
      <x:c r="F29" s="91" t="str">
        <x:v>工作日周三</x:v>
      </x:c>
      <x:c r="G29" s="91" t="str">
        <x:v>雨天</x:v>
      </x:c>
      <x:c r="H29" s="91" t="str">
        <x:v>无</x:v>
      </x:c>
      <x:c r="I29" s="108" t="n">
        <x:v>76</x:v>
      </x:c>
      <x:c r="J29" s="108" t="n">
        <x:v>85</x:v>
      </x:c>
      <x:c r="K29" s="108" t="n">
        <x:v>85</x:v>
      </x:c>
      <x:c r="L29" s="108" t="n">
        <x:v>85</x:v>
      </x:c>
      <x:c r="M29" s="108" t="str">
        <x:v>沿用建议</x:v>
      </x:c>
      <x:c r="N29" s="108" t="n">
        <x:v>83</x:v>
      </x:c>
      <x:c r="O29" s="108" t="n">
        <x:v>100</x:v>
      </x:c>
      <x:c r="P29" s="108" t="n">
        <x:v>0</x:v>
      </x:c>
      <x:c r="Q29" s="91" t="str">
        <x:v>否</x:v>
      </x:c>
      <x:c r="R29" s="91" t="n">
        <x:v>1</x:v>
      </x:c>
      <x:c r="S29" s="91" t="str">
        <x:v>无</x:v>
      </x:c>
      <x:c r="T29" s="91" t="str">
        <x:v>模拟正常样本</x:v>
      </x:c>
      <x:c r="U29" s="91" t="n">
        <x:f>ABS(L29-N29)</x:f>
        <x:v>2</x:v>
      </x:c>
      <x:c r="V29" s="91" t="str">
        <x:f>IF(L29=K29,"沿用建议","人工调整")</x:f>
        <x:v>沿用建议</x:v>
      </x:c>
      <x:c r="W29" s="92" t="str">
        <x:f>IF(Q29="是","售罄风险",IF(P29&gt;3,"损耗风险","正常"))</x:f>
        <x:v>正常</x:v>
      </x:c>
    </x:row>
    <x:row r="30" ht="20" customHeight="1">
      <x:c r="A30" s="105" t="n">
        <x:v>46190</x:v>
      </x:c>
      <x:c r="B30" s="91" t="str">
        <x:v>模拟店 A（成熟商圈）</x:v>
      </x:c>
      <x:c r="C30" s="91" t="str">
        <x:v>成熟店</x:v>
      </x:c>
      <x:c r="D30" s="91" t="str">
        <x:v>粉蒸排骨</x:v>
      </x:c>
      <x:c r="E30" s="91" t="str">
        <x:v>晚市</x:v>
      </x:c>
      <x:c r="F30" s="91" t="str">
        <x:v>工作日周三</x:v>
      </x:c>
      <x:c r="G30" s="91" t="str">
        <x:v>雨天</x:v>
      </x:c>
      <x:c r="H30" s="91" t="str">
        <x:v>无</x:v>
      </x:c>
      <x:c r="I30" s="108" t="n">
        <x:v>38</x:v>
      </x:c>
      <x:c r="J30" s="108" t="n">
        <x:v>42</x:v>
      </x:c>
      <x:c r="K30" s="108" t="n">
        <x:v>42</x:v>
      </x:c>
      <x:c r="L30" s="108" t="n">
        <x:v>42</x:v>
      </x:c>
      <x:c r="M30" s="108" t="str">
        <x:v>沿用建议</x:v>
      </x:c>
      <x:c r="N30" s="108" t="n">
        <x:v>36</x:v>
      </x:c>
      <x:c r="O30" s="108" t="n">
        <x:v>56</x:v>
      </x:c>
      <x:c r="P30" s="108" t="n">
        <x:v>4</x:v>
      </x:c>
      <x:c r="Q30" s="91" t="str">
        <x:v>否</x:v>
      </x:c>
      <x:c r="R30" s="91" t="n">
        <x:v>2</x:v>
      </x:c>
      <x:c r="S30" s="91" t="str">
        <x:v>无</x:v>
      </x:c>
      <x:c r="T30" s="91" t="str">
        <x:v>模拟正常样本</x:v>
      </x:c>
      <x:c r="U30" s="91" t="n">
        <x:f>ABS(L30-N30)</x:f>
        <x:v>6</x:v>
      </x:c>
      <x:c r="V30" s="91" t="str">
        <x:f>IF(L30=K30,"沿用建议","人工调整")</x:f>
        <x:v>沿用建议</x:v>
      </x:c>
      <x:c r="W30" s="92" t="str">
        <x:f>IF(Q30="是","售罄风险",IF(P30&gt;3,"损耗风险","正常"))</x:f>
        <x:v>损耗风险</x:v>
      </x:c>
    </x:row>
    <x:row r="31" ht="20" customHeight="1">
      <x:c r="A31" s="105" t="n">
        <x:v>46190</x:v>
      </x:c>
      <x:c r="B31" s="91" t="str">
        <x:v>模拟店 A（成熟商圈）</x:v>
      </x:c>
      <x:c r="C31" s="91" t="str">
        <x:v>成熟店</x:v>
      </x:c>
      <x:c r="D31" s="91" t="str">
        <x:v>桂花糖藕</x:v>
      </x:c>
      <x:c r="E31" s="91" t="str">
        <x:v>晚市</x:v>
      </x:c>
      <x:c r="F31" s="91" t="str">
        <x:v>工作日周三</x:v>
      </x:c>
      <x:c r="G31" s="91" t="str">
        <x:v>雨天</x:v>
      </x:c>
      <x:c r="H31" s="91" t="str">
        <x:v>无</x:v>
      </x:c>
      <x:c r="I31" s="108" t="n">
        <x:v>27</x:v>
      </x:c>
      <x:c r="J31" s="108" t="n">
        <x:v>31</x:v>
      </x:c>
      <x:c r="K31" s="108" t="n">
        <x:v>31</x:v>
      </x:c>
      <x:c r="L31" s="108" t="n">
        <x:v>31</x:v>
      </x:c>
      <x:c r="M31" s="108" t="str">
        <x:v>沿用建议</x:v>
      </x:c>
      <x:c r="N31" s="108" t="n">
        <x:v>30</x:v>
      </x:c>
      <x:c r="O31" s="108" t="n">
        <x:v>45</x:v>
      </x:c>
      <x:c r="P31" s="108" t="n">
        <x:v>0</x:v>
      </x:c>
      <x:c r="Q31" s="91" t="str">
        <x:v>否</x:v>
      </x:c>
      <x:c r="R31" s="91" t="n">
        <x:v>0</x:v>
      </x:c>
      <x:c r="S31" s="91" t="str">
        <x:v>无</x:v>
      </x:c>
      <x:c r="T31" s="91" t="str">
        <x:v>模拟正常样本</x:v>
      </x:c>
      <x:c r="U31" s="91" t="n">
        <x:f>ABS(L31-N31)</x:f>
        <x:v>1</x:v>
      </x:c>
      <x:c r="V31" s="91" t="str">
        <x:f>IF(L31=K31,"沿用建议","人工调整")</x:f>
        <x:v>沿用建议</x:v>
      </x:c>
      <x:c r="W31" s="92" t="str">
        <x:f>IF(Q31="是","售罄风险",IF(P31&gt;3,"损耗风险","正常"))</x:f>
        <x:v>正常</x:v>
      </x:c>
    </x:row>
    <x:row r="32" ht="20" customHeight="1">
      <x:c r="A32" s="105" t="n">
        <x:v>46190</x:v>
      </x:c>
      <x:c r="B32" s="91" t="str">
        <x:v>模拟店 A（成熟商圈）</x:v>
      </x:c>
      <x:c r="C32" s="91" t="str">
        <x:v>成熟店</x:v>
      </x:c>
      <x:c r="D32" s="91" t="str">
        <x:v>藕夹</x:v>
      </x:c>
      <x:c r="E32" s="91" t="str">
        <x:v>晚市</x:v>
      </x:c>
      <x:c r="F32" s="91" t="str">
        <x:v>工作日周三</x:v>
      </x:c>
      <x:c r="G32" s="91" t="str">
        <x:v>雨天</x:v>
      </x:c>
      <x:c r="H32" s="91" t="str">
        <x:v>无</x:v>
      </x:c>
      <x:c r="I32" s="108" t="n">
        <x:v>33</x:v>
      </x:c>
      <x:c r="J32" s="108" t="n">
        <x:v>37</x:v>
      </x:c>
      <x:c r="K32" s="108" t="n">
        <x:v>37</x:v>
      </x:c>
      <x:c r="L32" s="108" t="n">
        <x:v>37</x:v>
      </x:c>
      <x:c r="M32" s="108" t="str">
        <x:v>沿用建议</x:v>
      </x:c>
      <x:c r="N32" s="108" t="n">
        <x:v>34</x:v>
      </x:c>
      <x:c r="O32" s="108" t="n">
        <x:v>50</x:v>
      </x:c>
      <x:c r="P32" s="108" t="n">
        <x:v>1</x:v>
      </x:c>
      <x:c r="Q32" s="91" t="str">
        <x:v>否</x:v>
      </x:c>
      <x:c r="R32" s="91" t="n">
        <x:v>3</x:v>
      </x:c>
      <x:c r="S32" s="91" t="str">
        <x:v>无</x:v>
      </x:c>
      <x:c r="T32" s="91" t="str">
        <x:v>模拟正常样本</x:v>
      </x:c>
      <x:c r="U32" s="91" t="n">
        <x:f>ABS(L32-N32)</x:f>
        <x:v>3</x:v>
      </x:c>
      <x:c r="V32" s="91" t="str">
        <x:f>IF(L32=K32,"沿用建议","人工调整")</x:f>
        <x:v>沿用建议</x:v>
      </x:c>
      <x:c r="W32" s="92" t="str">
        <x:f>IF(Q32="是","售罄风险",IF(P32&gt;3,"损耗风险","正常"))</x:f>
        <x:v>正常</x:v>
      </x:c>
    </x:row>
    <x:row r="33" ht="20" customHeight="1">
      <x:c r="A33" s="105" t="n">
        <x:v>46190</x:v>
      </x:c>
      <x:c r="B33" s="91" t="str">
        <x:v>模拟店 B（新开门店）</x:v>
      </x:c>
      <x:c r="C33" s="91" t="str">
        <x:v>新店</x:v>
      </x:c>
      <x:c r="D33" s="91" t="str">
        <x:v>筒骨煨藕汤</x:v>
      </x:c>
      <x:c r="E33" s="91" t="str">
        <x:v>晚市</x:v>
      </x:c>
      <x:c r="F33" s="91" t="str">
        <x:v>工作日周三</x:v>
      </x:c>
      <x:c r="G33" s="91" t="str">
        <x:v>常温</x:v>
      </x:c>
      <x:c r="H33" s="91" t="str">
        <x:v>无</x:v>
      </x:c>
      <x:c r="I33" s="108" t="n">
        <x:v>51</x:v>
      </x:c>
      <x:c r="J33" s="108" t="n">
        <x:v>58</x:v>
      </x:c>
      <x:c r="K33" s="108" t="n">
        <x:v>58</x:v>
      </x:c>
      <x:c r="L33" s="108" t="n">
        <x:v>58</x:v>
      </x:c>
      <x:c r="M33" s="108" t="str">
        <x:v>沿用建议</x:v>
      </x:c>
      <x:c r="N33" s="108" t="n">
        <x:v>57</x:v>
      </x:c>
      <x:c r="O33" s="108" t="n">
        <x:v>71</x:v>
      </x:c>
      <x:c r="P33" s="108" t="n">
        <x:v>0</x:v>
      </x:c>
      <x:c r="Q33" s="91" t="str">
        <x:v>否</x:v>
      </x:c>
      <x:c r="R33" s="91" t="n">
        <x:v>2</x:v>
      </x:c>
      <x:c r="S33" s="91" t="str">
        <x:v>无</x:v>
      </x:c>
      <x:c r="T33" s="91" t="str">
        <x:v>模拟正常样本</x:v>
      </x:c>
      <x:c r="U33" s="91" t="n">
        <x:f>ABS(L33-N33)</x:f>
        <x:v>1</x:v>
      </x:c>
      <x:c r="V33" s="91" t="str">
        <x:f>IF(L33=K33,"沿用建议","人工调整")</x:f>
        <x:v>沿用建议</x:v>
      </x:c>
      <x:c r="W33" s="92" t="str">
        <x:f>IF(Q33="是","售罄风险",IF(P33&gt;3,"损耗风险","正常"))</x:f>
        <x:v>正常</x:v>
      </x:c>
    </x:row>
    <x:row r="34" ht="20" customHeight="1">
      <x:c r="A34" s="105" t="n">
        <x:v>46190</x:v>
      </x:c>
      <x:c r="B34" s="91" t="str">
        <x:v>模拟店 B（新开门店）</x:v>
      </x:c>
      <x:c r="C34" s="91" t="str">
        <x:v>新店</x:v>
      </x:c>
      <x:c r="D34" s="91" t="str">
        <x:v>粉蒸排骨</x:v>
      </x:c>
      <x:c r="E34" s="91" t="str">
        <x:v>晚市</x:v>
      </x:c>
      <x:c r="F34" s="91" t="str">
        <x:v>工作日周三</x:v>
      </x:c>
      <x:c r="G34" s="91" t="str">
        <x:v>常温</x:v>
      </x:c>
      <x:c r="H34" s="91" t="str">
        <x:v>无</x:v>
      </x:c>
      <x:c r="I34" s="108" t="n">
        <x:v>32</x:v>
      </x:c>
      <x:c r="J34" s="108" t="n">
        <x:v>36</x:v>
      </x:c>
      <x:c r="K34" s="108" t="n">
        <x:v>36</x:v>
      </x:c>
      <x:c r="L34" s="108" t="n">
        <x:v>36</x:v>
      </x:c>
      <x:c r="M34" s="108" t="str">
        <x:v>沿用建议</x:v>
      </x:c>
      <x:c r="N34" s="108" t="n">
        <x:v>30</x:v>
      </x:c>
      <x:c r="O34" s="108" t="n">
        <x:v>49</x:v>
      </x:c>
      <x:c r="P34" s="108" t="n">
        <x:v>4</x:v>
      </x:c>
      <x:c r="Q34" s="91" t="str">
        <x:v>否</x:v>
      </x:c>
      <x:c r="R34" s="91" t="n">
        <x:v>1</x:v>
      </x:c>
      <x:c r="S34" s="91" t="str">
        <x:v>无</x:v>
      </x:c>
      <x:c r="T34" s="91" t="str">
        <x:v>模拟正常样本</x:v>
      </x:c>
      <x:c r="U34" s="91" t="n">
        <x:f>ABS(L34-N34)</x:f>
        <x:v>6</x:v>
      </x:c>
      <x:c r="V34" s="91" t="str">
        <x:f>IF(L34=K34,"沿用建议","人工调整")</x:f>
        <x:v>沿用建议</x:v>
      </x:c>
      <x:c r="W34" s="92" t="str">
        <x:f>IF(Q34="是","售罄风险",IF(P34&gt;3,"损耗风险","正常"))</x:f>
        <x:v>损耗风险</x:v>
      </x:c>
    </x:row>
    <x:row r="35" ht="20" customHeight="1">
      <x:c r="A35" s="105" t="n">
        <x:v>46190</x:v>
      </x:c>
      <x:c r="B35" s="91" t="str">
        <x:v>模拟店 B（新开门店）</x:v>
      </x:c>
      <x:c r="C35" s="91" t="str">
        <x:v>新店</x:v>
      </x:c>
      <x:c r="D35" s="91" t="str">
        <x:v>桂花糖藕</x:v>
      </x:c>
      <x:c r="E35" s="91" t="str">
        <x:v>晚市</x:v>
      </x:c>
      <x:c r="F35" s="91" t="str">
        <x:v>工作日周三</x:v>
      </x:c>
      <x:c r="G35" s="91" t="str">
        <x:v>常温</x:v>
      </x:c>
      <x:c r="H35" s="91" t="str">
        <x:v>无</x:v>
      </x:c>
      <x:c r="I35" s="108" t="n">
        <x:v>21</x:v>
      </x:c>
      <x:c r="J35" s="108" t="n">
        <x:v>25</x:v>
      </x:c>
      <x:c r="K35" s="108" t="n">
        <x:v>25</x:v>
      </x:c>
      <x:c r="L35" s="108" t="n">
        <x:v>25</x:v>
      </x:c>
      <x:c r="M35" s="108" t="str">
        <x:v>沿用建议</x:v>
      </x:c>
      <x:c r="N35" s="108" t="n">
        <x:v>20</x:v>
      </x:c>
      <x:c r="O35" s="108" t="n">
        <x:v>36</x:v>
      </x:c>
      <x:c r="P35" s="108" t="n">
        <x:v>4</x:v>
      </x:c>
      <x:c r="Q35" s="91" t="str">
        <x:v>否</x:v>
      </x:c>
      <x:c r="R35" s="91" t="n">
        <x:v>3</x:v>
      </x:c>
      <x:c r="S35" s="91" t="str">
        <x:v>无</x:v>
      </x:c>
      <x:c r="T35" s="91" t="str">
        <x:v>模拟正常样本</x:v>
      </x:c>
      <x:c r="U35" s="91" t="n">
        <x:f>ABS(L35-N35)</x:f>
        <x:v>5</x:v>
      </x:c>
      <x:c r="V35" s="91" t="str">
        <x:f>IF(L35=K35,"沿用建议","人工调整")</x:f>
        <x:v>沿用建议</x:v>
      </x:c>
      <x:c r="W35" s="92" t="str">
        <x:f>IF(Q35="是","售罄风险",IF(P35&gt;3,"损耗风险","正常"))</x:f>
        <x:v>损耗风险</x:v>
      </x:c>
    </x:row>
    <x:row r="36" ht="20" customHeight="1">
      <x:c r="A36" s="105" t="n">
        <x:v>46190</x:v>
      </x:c>
      <x:c r="B36" s="91" t="str">
        <x:v>模拟店 B（新开门店）</x:v>
      </x:c>
      <x:c r="C36" s="91" t="str">
        <x:v>新店</x:v>
      </x:c>
      <x:c r="D36" s="91" t="str">
        <x:v>藕夹</x:v>
      </x:c>
      <x:c r="E36" s="91" t="str">
        <x:v>晚市</x:v>
      </x:c>
      <x:c r="F36" s="91" t="str">
        <x:v>工作日周三</x:v>
      </x:c>
      <x:c r="G36" s="91" t="str">
        <x:v>常温</x:v>
      </x:c>
      <x:c r="H36" s="91" t="str">
        <x:v>无</x:v>
      </x:c>
      <x:c r="I36" s="108" t="n">
        <x:v>25</x:v>
      </x:c>
      <x:c r="J36" s="108" t="n">
        <x:v>29</x:v>
      </x:c>
      <x:c r="K36" s="108" t="n">
        <x:v>29</x:v>
      </x:c>
      <x:c r="L36" s="108" t="n">
        <x:v>29</x:v>
      </x:c>
      <x:c r="M36" s="108" t="str">
        <x:v>沿用建议</x:v>
      </x:c>
      <x:c r="N36" s="108" t="n">
        <x:v>24</x:v>
      </x:c>
      <x:c r="O36" s="108" t="n">
        <x:v>39</x:v>
      </x:c>
      <x:c r="P36" s="108" t="n">
        <x:v>3</x:v>
      </x:c>
      <x:c r="Q36" s="91" t="str">
        <x:v>否</x:v>
      </x:c>
      <x:c r="R36" s="91" t="n">
        <x:v>0</x:v>
      </x:c>
      <x:c r="S36" s="91" t="str">
        <x:v>无</x:v>
      </x:c>
      <x:c r="T36" s="91" t="str">
        <x:v>模拟正常样本</x:v>
      </x:c>
      <x:c r="U36" s="91" t="n">
        <x:f>ABS(L36-N36)</x:f>
        <x:v>5</x:v>
      </x:c>
      <x:c r="V36" s="91" t="str">
        <x:f>IF(L36=K36,"沿用建议","人工调整")</x:f>
        <x:v>沿用建议</x:v>
      </x:c>
      <x:c r="W36" s="92" t="str">
        <x:f>IF(Q36="是","售罄风险",IF(P36&gt;3,"损耗风险","正常"))</x:f>
        <x:v>正常</x:v>
      </x:c>
    </x:row>
    <x:row r="37" ht="20" customHeight="1">
      <x:c r="A37" s="105" t="n">
        <x:v>46190</x:v>
      </x:c>
      <x:c r="B37" s="91" t="str">
        <x:v>模拟店 C（社区门店）</x:v>
      </x:c>
      <x:c r="C37" s="91" t="str">
        <x:v>成长期</x:v>
      </x:c>
      <x:c r="D37" s="91" t="str">
        <x:v>筒骨煨藕汤</x:v>
      </x:c>
      <x:c r="E37" s="91" t="str">
        <x:v>晚市</x:v>
      </x:c>
      <x:c r="F37" s="91" t="str">
        <x:v>工作日周三</x:v>
      </x:c>
      <x:c r="G37" s="91" t="str">
        <x:v>高温</x:v>
      </x:c>
      <x:c r="H37" s="91" t="str">
        <x:v>无</x:v>
      </x:c>
      <x:c r="I37" s="108" t="n">
        <x:v>53</x:v>
      </x:c>
      <x:c r="J37" s="108" t="n">
        <x:v>60</x:v>
      </x:c>
      <x:c r="K37" s="108" t="n">
        <x:v>60</x:v>
      </x:c>
      <x:c r="L37" s="108" t="n">
        <x:v>60</x:v>
      </x:c>
      <x:c r="M37" s="108" t="str">
        <x:v>沿用建议</x:v>
      </x:c>
      <x:c r="N37" s="108" t="n">
        <x:v>50</x:v>
      </x:c>
      <x:c r="O37" s="108" t="n">
        <x:v>73</x:v>
      </x:c>
      <x:c r="P37" s="108" t="n">
        <x:v>8</x:v>
      </x:c>
      <x:c r="Q37" s="91" t="str">
        <x:v>否</x:v>
      </x:c>
      <x:c r="R37" s="91" t="n">
        <x:v>2</x:v>
      </x:c>
      <x:c r="S37" s="91" t="str">
        <x:v>无</x:v>
      </x:c>
      <x:c r="T37" s="91" t="str">
        <x:v>模拟正常样本</x:v>
      </x:c>
      <x:c r="U37" s="91" t="n">
        <x:f>ABS(L37-N37)</x:f>
        <x:v>10</x:v>
      </x:c>
      <x:c r="V37" s="91" t="str">
        <x:f>IF(L37=K37,"沿用建议","人工调整")</x:f>
        <x:v>沿用建议</x:v>
      </x:c>
      <x:c r="W37" s="92" t="str">
        <x:f>IF(Q37="是","售罄风险",IF(P37&gt;3,"损耗风险","正常"))</x:f>
        <x:v>损耗风险</x:v>
      </x:c>
    </x:row>
    <x:row r="38" ht="20" customHeight="1">
      <x:c r="A38" s="105" t="n">
        <x:v>46190</x:v>
      </x:c>
      <x:c r="B38" s="91" t="str">
        <x:v>模拟店 C（社区门店）</x:v>
      </x:c>
      <x:c r="C38" s="91" t="str">
        <x:v>成长期</x:v>
      </x:c>
      <x:c r="D38" s="91" t="str">
        <x:v>粉蒸排骨</x:v>
      </x:c>
      <x:c r="E38" s="91" t="str">
        <x:v>晚市</x:v>
      </x:c>
      <x:c r="F38" s="91" t="str">
        <x:v>工作日周三</x:v>
      </x:c>
      <x:c r="G38" s="91" t="str">
        <x:v>高温</x:v>
      </x:c>
      <x:c r="H38" s="91" t="str">
        <x:v>无</x:v>
      </x:c>
      <x:c r="I38" s="108" t="n">
        <x:v>35</x:v>
      </x:c>
      <x:c r="J38" s="108" t="n">
        <x:v>39</x:v>
      </x:c>
      <x:c r="K38" s="108" t="n">
        <x:v>39</x:v>
      </x:c>
      <x:c r="L38" s="108" t="n">
        <x:v>39</x:v>
      </x:c>
      <x:c r="M38" s="108" t="str">
        <x:v>沿用建议</x:v>
      </x:c>
      <x:c r="N38" s="108" t="n">
        <x:v>39</x:v>
      </x:c>
      <x:c r="O38" s="108" t="n">
        <x:v>46</x:v>
      </x:c>
      <x:c r="P38" s="108" t="n">
        <x:v>0</x:v>
      </x:c>
      <x:c r="Q38" s="91" t="str">
        <x:v>否</x:v>
      </x:c>
      <x:c r="R38" s="91" t="n">
        <x:v>2</x:v>
      </x:c>
      <x:c r="S38" s="91" t="str">
        <x:v>无</x:v>
      </x:c>
      <x:c r="T38" s="91" t="str">
        <x:v>模拟正常样本</x:v>
      </x:c>
      <x:c r="U38" s="91" t="n">
        <x:f>ABS(L38-N38)</x:f>
        <x:v>0</x:v>
      </x:c>
      <x:c r="V38" s="91" t="str">
        <x:f>IF(L38=K38,"沿用建议","人工调整")</x:f>
        <x:v>沿用建议</x:v>
      </x:c>
      <x:c r="W38" s="92" t="str">
        <x:f>IF(Q38="是","售罄风险",IF(P38&gt;3,"损耗风险","正常"))</x:f>
        <x:v>正常</x:v>
      </x:c>
    </x:row>
    <x:row r="39" ht="20" customHeight="1">
      <x:c r="A39" s="105" t="n">
        <x:v>46190</x:v>
      </x:c>
      <x:c r="B39" s="91" t="str">
        <x:v>模拟店 C（社区门店）</x:v>
      </x:c>
      <x:c r="C39" s="91" t="str">
        <x:v>成长期</x:v>
      </x:c>
      <x:c r="D39" s="91" t="str">
        <x:v>桂花糖藕</x:v>
      </x:c>
      <x:c r="E39" s="91" t="str">
        <x:v>晚市</x:v>
      </x:c>
      <x:c r="F39" s="91" t="str">
        <x:v>工作日周三</x:v>
      </x:c>
      <x:c r="G39" s="91" t="str">
        <x:v>高温</x:v>
      </x:c>
      <x:c r="H39" s="91" t="str">
        <x:v>无</x:v>
      </x:c>
      <x:c r="I39" s="108" t="n">
        <x:v>23</x:v>
      </x:c>
      <x:c r="J39" s="108" t="n">
        <x:v>27</x:v>
      </x:c>
      <x:c r="K39" s="108" t="n">
        <x:v>27</x:v>
      </x:c>
      <x:c r="L39" s="108" t="n">
        <x:v>27</x:v>
      </x:c>
      <x:c r="M39" s="108" t="str">
        <x:v>沿用建议</x:v>
      </x:c>
      <x:c r="N39" s="108" t="n">
        <x:v>23</x:v>
      </x:c>
      <x:c r="O39" s="108" t="n">
        <x:v>38</x:v>
      </x:c>
      <x:c r="P39" s="108" t="n">
        <x:v>3</x:v>
      </x:c>
      <x:c r="Q39" s="91" t="str">
        <x:v>否</x:v>
      </x:c>
      <x:c r="R39" s="91" t="n">
        <x:v>1</x:v>
      </x:c>
      <x:c r="S39" s="91" t="str">
        <x:v>无</x:v>
      </x:c>
      <x:c r="T39" s="91" t="str">
        <x:v>模拟正常样本</x:v>
      </x:c>
      <x:c r="U39" s="91" t="n">
        <x:f>ABS(L39-N39)</x:f>
        <x:v>4</x:v>
      </x:c>
      <x:c r="V39" s="91" t="str">
        <x:f>IF(L39=K39,"沿用建议","人工调整")</x:f>
        <x:v>沿用建议</x:v>
      </x:c>
      <x:c r="W39" s="92" t="str">
        <x:f>IF(Q39="是","售罄风险",IF(P39&gt;3,"损耗风险","正常"))</x:f>
        <x:v>正常</x:v>
      </x:c>
    </x:row>
    <x:row r="40" ht="20" customHeight="1">
      <x:c r="A40" s="105" t="n">
        <x:v>46190</x:v>
      </x:c>
      <x:c r="B40" s="91" t="str">
        <x:v>模拟店 C（社区门店）</x:v>
      </x:c>
      <x:c r="C40" s="91" t="str">
        <x:v>成长期</x:v>
      </x:c>
      <x:c r="D40" s="91" t="str">
        <x:v>藕夹</x:v>
      </x:c>
      <x:c r="E40" s="91" t="str">
        <x:v>晚市</x:v>
      </x:c>
      <x:c r="F40" s="91" t="str">
        <x:v>工作日周三</x:v>
      </x:c>
      <x:c r="G40" s="91" t="str">
        <x:v>高温</x:v>
      </x:c>
      <x:c r="H40" s="91" t="str">
        <x:v>无</x:v>
      </x:c>
      <x:c r="I40" s="108" t="n">
        <x:v>28</x:v>
      </x:c>
      <x:c r="J40" s="108" t="n">
        <x:v>32</x:v>
      </x:c>
      <x:c r="K40" s="108" t="n">
        <x:v>32</x:v>
      </x:c>
      <x:c r="L40" s="108" t="n">
        <x:v>32</x:v>
      </x:c>
      <x:c r="M40" s="108" t="str">
        <x:v>沿用建议</x:v>
      </x:c>
      <x:c r="N40" s="108" t="n">
        <x:v>30</x:v>
      </x:c>
      <x:c r="O40" s="108" t="n">
        <x:v>46</x:v>
      </x:c>
      <x:c r="P40" s="108" t="n">
        <x:v>0</x:v>
      </x:c>
      <x:c r="Q40" s="91" t="str">
        <x:v>否</x:v>
      </x:c>
      <x:c r="R40" s="91" t="n">
        <x:v>3</x:v>
      </x:c>
      <x:c r="S40" s="91" t="str">
        <x:v>无</x:v>
      </x:c>
      <x:c r="T40" s="91" t="str">
        <x:v>模拟正常样本</x:v>
      </x:c>
      <x:c r="U40" s="91" t="n">
        <x:f>ABS(L40-N40)</x:f>
        <x:v>2</x:v>
      </x:c>
      <x:c r="V40" s="91" t="str">
        <x:f>IF(L40=K40,"沿用建议","人工调整")</x:f>
        <x:v>沿用建议</x:v>
      </x:c>
      <x:c r="W40" s="92" t="str">
        <x:f>IF(Q40="是","售罄风险",IF(P40&gt;3,"损耗风险","正常"))</x:f>
        <x:v>正常</x:v>
      </x:c>
    </x:row>
    <x:row r="41" ht="20" customHeight="1">
      <x:c r="A41" s="105" t="n">
        <x:v>46191</x:v>
      </x:c>
      <x:c r="B41" s="91" t="str">
        <x:v>模拟店 A（成熟商圈）</x:v>
      </x:c>
      <x:c r="C41" s="91" t="str">
        <x:v>成熟店</x:v>
      </x:c>
      <x:c r="D41" s="91" t="str">
        <x:v>筒骨煨藕汤</x:v>
      </x:c>
      <x:c r="E41" s="91" t="str">
        <x:v>晚市</x:v>
      </x:c>
      <x:c r="F41" s="91" t="str">
        <x:v>工作日周四</x:v>
      </x:c>
      <x:c r="G41" s="91" t="str">
        <x:v>常温</x:v>
      </x:c>
      <x:c r="H41" s="91" t="str">
        <x:v>无</x:v>
      </x:c>
      <x:c r="I41" s="108" t="n">
        <x:v>69</x:v>
      </x:c>
      <x:c r="J41" s="108" t="n">
        <x:v>77</x:v>
      </x:c>
      <x:c r="K41" s="108" t="n">
        <x:v>77</x:v>
      </x:c>
      <x:c r="L41" s="108" t="n">
        <x:v>77</x:v>
      </x:c>
      <x:c r="M41" s="108" t="str">
        <x:v>沿用建议</x:v>
      </x:c>
      <x:c r="N41" s="108" t="n">
        <x:v>63</x:v>
      </x:c>
      <x:c r="O41" s="108" t="n">
        <x:v>84</x:v>
      </x:c>
      <x:c r="P41" s="108" t="n">
        <x:v>12</x:v>
      </x:c>
      <x:c r="Q41" s="91" t="str">
        <x:v>否</x:v>
      </x:c>
      <x:c r="R41" s="91" t="n">
        <x:v>1</x:v>
      </x:c>
      <x:c r="S41" s="91" t="str">
        <x:v>无</x:v>
      </x:c>
      <x:c r="T41" s="91" t="str">
        <x:v>模拟正常样本</x:v>
      </x:c>
      <x:c r="U41" s="91" t="n">
        <x:f>ABS(L41-N41)</x:f>
        <x:v>14</x:v>
      </x:c>
      <x:c r="V41" s="91" t="str">
        <x:f>IF(L41=K41,"沿用建议","人工调整")</x:f>
        <x:v>沿用建议</x:v>
      </x:c>
      <x:c r="W41" s="92" t="str">
        <x:f>IF(Q41="是","售罄风险",IF(P41&gt;3,"损耗风险","正常"))</x:f>
        <x:v>损耗风险</x:v>
      </x:c>
    </x:row>
    <x:row r="42" ht="20" customHeight="1">
      <x:c r="A42" s="105" t="n">
        <x:v>46191</x:v>
      </x:c>
      <x:c r="B42" s="91" t="str">
        <x:v>模拟店 A（成熟商圈）</x:v>
      </x:c>
      <x:c r="C42" s="91" t="str">
        <x:v>成熟店</x:v>
      </x:c>
      <x:c r="D42" s="91" t="str">
        <x:v>粉蒸排骨</x:v>
      </x:c>
      <x:c r="E42" s="91" t="str">
        <x:v>晚市</x:v>
      </x:c>
      <x:c r="F42" s="91" t="str">
        <x:v>工作日周四</x:v>
      </x:c>
      <x:c r="G42" s="91" t="str">
        <x:v>常温</x:v>
      </x:c>
      <x:c r="H42" s="91" t="str">
        <x:v>无</x:v>
      </x:c>
      <x:c r="I42" s="108" t="n">
        <x:v>41</x:v>
      </x:c>
      <x:c r="J42" s="108" t="n">
        <x:v>45</x:v>
      </x:c>
      <x:c r="K42" s="108" t="n">
        <x:v>45</x:v>
      </x:c>
      <x:c r="L42" s="108" t="n">
        <x:v>45</x:v>
      </x:c>
      <x:c r="M42" s="108" t="str">
        <x:v>沿用建议</x:v>
      </x:c>
      <x:c r="N42" s="108" t="n">
        <x:v>43</x:v>
      </x:c>
      <x:c r="O42" s="108" t="n">
        <x:v>58</x:v>
      </x:c>
      <x:c r="P42" s="108" t="n">
        <x:v>0</x:v>
      </x:c>
      <x:c r="Q42" s="91" t="str">
        <x:v>否</x:v>
      </x:c>
      <x:c r="R42" s="91" t="n">
        <x:v>0</x:v>
      </x:c>
      <x:c r="S42" s="91" t="str">
        <x:v>无</x:v>
      </x:c>
      <x:c r="T42" s="91" t="str">
        <x:v>模拟正常样本</x:v>
      </x:c>
      <x:c r="U42" s="91" t="n">
        <x:f>ABS(L42-N42)</x:f>
        <x:v>2</x:v>
      </x:c>
      <x:c r="V42" s="91" t="str">
        <x:f>IF(L42=K42,"沿用建议","人工调整")</x:f>
        <x:v>沿用建议</x:v>
      </x:c>
      <x:c r="W42" s="92" t="str">
        <x:f>IF(Q42="是","售罄风险",IF(P42&gt;3,"损耗风险","正常"))</x:f>
        <x:v>正常</x:v>
      </x:c>
    </x:row>
    <x:row r="43" ht="20" customHeight="1">
      <x:c r="A43" s="105" t="n">
        <x:v>46191</x:v>
      </x:c>
      <x:c r="B43" s="91" t="str">
        <x:v>模拟店 A（成熟商圈）</x:v>
      </x:c>
      <x:c r="C43" s="91" t="str">
        <x:v>成熟店</x:v>
      </x:c>
      <x:c r="D43" s="91" t="str">
        <x:v>桂花糖藕</x:v>
      </x:c>
      <x:c r="E43" s="91" t="str">
        <x:v>晚市</x:v>
      </x:c>
      <x:c r="F43" s="91" t="str">
        <x:v>工作日周四</x:v>
      </x:c>
      <x:c r="G43" s="91" t="str">
        <x:v>常温</x:v>
      </x:c>
      <x:c r="H43" s="91" t="str">
        <x:v>无</x:v>
      </x:c>
      <x:c r="I43" s="108" t="n">
        <x:v>28</x:v>
      </x:c>
      <x:c r="J43" s="108" t="n">
        <x:v>32</x:v>
      </x:c>
      <x:c r="K43" s="108" t="n">
        <x:v>32</x:v>
      </x:c>
      <x:c r="L43" s="108" t="n">
        <x:v>32</x:v>
      </x:c>
      <x:c r="M43" s="108" t="str">
        <x:v>沿用建议</x:v>
      </x:c>
      <x:c r="N43" s="108" t="n">
        <x:v>28</x:v>
      </x:c>
      <x:c r="O43" s="108" t="n">
        <x:v>39</x:v>
      </x:c>
      <x:c r="P43" s="108" t="n">
        <x:v>3</x:v>
      </x:c>
      <x:c r="Q43" s="91" t="str">
        <x:v>否</x:v>
      </x:c>
      <x:c r="R43" s="91" t="n">
        <x:v>3</x:v>
      </x:c>
      <x:c r="S43" s="91" t="str">
        <x:v>无</x:v>
      </x:c>
      <x:c r="T43" s="91" t="str">
        <x:v>模拟正常样本</x:v>
      </x:c>
      <x:c r="U43" s="91" t="n">
        <x:f>ABS(L43-N43)</x:f>
        <x:v>4</x:v>
      </x:c>
      <x:c r="V43" s="91" t="str">
        <x:f>IF(L43=K43,"沿用建议","人工调整")</x:f>
        <x:v>沿用建议</x:v>
      </x:c>
      <x:c r="W43" s="92" t="str">
        <x:f>IF(Q43="是","售罄风险",IF(P43&gt;3,"损耗风险","正常"))</x:f>
        <x:v>正常</x:v>
      </x:c>
    </x:row>
    <x:row r="44" ht="20" customHeight="1">
      <x:c r="A44" s="105" t="n">
        <x:v>46191</x:v>
      </x:c>
      <x:c r="B44" s="91" t="str">
        <x:v>模拟店 A（成熟商圈）</x:v>
      </x:c>
      <x:c r="C44" s="91" t="str">
        <x:v>成熟店</x:v>
      </x:c>
      <x:c r="D44" s="91" t="str">
        <x:v>藕夹</x:v>
      </x:c>
      <x:c r="E44" s="91" t="str">
        <x:v>晚市</x:v>
      </x:c>
      <x:c r="F44" s="91" t="str">
        <x:v>工作日周四</x:v>
      </x:c>
      <x:c r="G44" s="91" t="str">
        <x:v>常温</x:v>
      </x:c>
      <x:c r="H44" s="91" t="str">
        <x:v>无</x:v>
      </x:c>
      <x:c r="I44" s="108" t="n">
        <x:v>35</x:v>
      </x:c>
      <x:c r="J44" s="108" t="n">
        <x:v>39</x:v>
      </x:c>
      <x:c r="K44" s="108" t="n">
        <x:v>39</x:v>
      </x:c>
      <x:c r="L44" s="108" t="n">
        <x:v>39</x:v>
      </x:c>
      <x:c r="M44" s="108" t="str">
        <x:v>沿用建议</x:v>
      </x:c>
      <x:c r="N44" s="108" t="n">
        <x:v>38</x:v>
      </x:c>
      <x:c r="O44" s="108" t="n">
        <x:v>53</x:v>
      </x:c>
      <x:c r="P44" s="108" t="n">
        <x:v>0</x:v>
      </x:c>
      <x:c r="Q44" s="91" t="str">
        <x:v>否</x:v>
      </x:c>
      <x:c r="R44" s="91" t="n">
        <x:v>3</x:v>
      </x:c>
      <x:c r="S44" s="91" t="str">
        <x:v>无</x:v>
      </x:c>
      <x:c r="T44" s="91" t="str">
        <x:v>模拟正常样本</x:v>
      </x:c>
      <x:c r="U44" s="91" t="n">
        <x:f>ABS(L44-N44)</x:f>
        <x:v>1</x:v>
      </x:c>
      <x:c r="V44" s="91" t="str">
        <x:f>IF(L44=K44,"沿用建议","人工调整")</x:f>
        <x:v>沿用建议</x:v>
      </x:c>
      <x:c r="W44" s="92" t="str">
        <x:f>IF(Q44="是","售罄风险",IF(P44&gt;3,"损耗风险","正常"))</x:f>
        <x:v>正常</x:v>
      </x:c>
    </x:row>
    <x:row r="45" ht="20" customHeight="1">
      <x:c r="A45" s="105" t="n">
        <x:v>46191</x:v>
      </x:c>
      <x:c r="B45" s="91" t="str">
        <x:v>模拟店 B（新开门店）</x:v>
      </x:c>
      <x:c r="C45" s="91" t="str">
        <x:v>新店</x:v>
      </x:c>
      <x:c r="D45" s="91" t="str">
        <x:v>筒骨煨藕汤</x:v>
      </x:c>
      <x:c r="E45" s="91" t="str">
        <x:v>晚市</x:v>
      </x:c>
      <x:c r="F45" s="91" t="str">
        <x:v>工作日周四</x:v>
      </x:c>
      <x:c r="G45" s="91" t="str">
        <x:v>高温</x:v>
      </x:c>
      <x:c r="H45" s="91" t="str">
        <x:v>无</x:v>
      </x:c>
      <x:c r="I45" s="108" t="n">
        <x:v>47</x:v>
      </x:c>
      <x:c r="J45" s="108" t="n">
        <x:v>53</x:v>
      </x:c>
      <x:c r="K45" s="108" t="n">
        <x:v>53</x:v>
      </x:c>
      <x:c r="L45" s="108" t="n">
        <x:v>53</x:v>
      </x:c>
      <x:c r="M45" s="108" t="str">
        <x:v>沿用建议</x:v>
      </x:c>
      <x:c r="N45" s="108" t="n">
        <x:v>47</x:v>
      </x:c>
      <x:c r="O45" s="108" t="n">
        <x:v>66</x:v>
      </x:c>
      <x:c r="P45" s="108" t="n">
        <x:v>4</x:v>
      </x:c>
      <x:c r="Q45" s="91" t="str">
        <x:v>否</x:v>
      </x:c>
      <x:c r="R45" s="91" t="n">
        <x:v>2</x:v>
      </x:c>
      <x:c r="S45" s="91" t="str">
        <x:v>无</x:v>
      </x:c>
      <x:c r="T45" s="91" t="str">
        <x:v>模拟正常样本</x:v>
      </x:c>
      <x:c r="U45" s="91" t="n">
        <x:f>ABS(L45-N45)</x:f>
        <x:v>6</x:v>
      </x:c>
      <x:c r="V45" s="91" t="str">
        <x:f>IF(L45=K45,"沿用建议","人工调整")</x:f>
        <x:v>沿用建议</x:v>
      </x:c>
      <x:c r="W45" s="92" t="str">
        <x:f>IF(Q45="是","售罄风险",IF(P45&gt;3,"损耗风险","正常"))</x:f>
        <x:v>损耗风险</x:v>
      </x:c>
    </x:row>
    <x:row r="46" ht="20" customHeight="1">
      <x:c r="A46" s="105" t="n">
        <x:v>46191</x:v>
      </x:c>
      <x:c r="B46" s="91" t="str">
        <x:v>模拟店 B（新开门店）</x:v>
      </x:c>
      <x:c r="C46" s="91" t="str">
        <x:v>新店</x:v>
      </x:c>
      <x:c r="D46" s="91" t="str">
        <x:v>粉蒸排骨</x:v>
      </x:c>
      <x:c r="E46" s="91" t="str">
        <x:v>晚市</x:v>
      </x:c>
      <x:c r="F46" s="91" t="str">
        <x:v>工作日周四</x:v>
      </x:c>
      <x:c r="G46" s="91" t="str">
        <x:v>高温</x:v>
      </x:c>
      <x:c r="H46" s="91" t="str">
        <x:v>无</x:v>
      </x:c>
      <x:c r="I46" s="108" t="n">
        <x:v>30</x:v>
      </x:c>
      <x:c r="J46" s="108" t="n">
        <x:v>34</x:v>
      </x:c>
      <x:c r="K46" s="108" t="n">
        <x:v>34</x:v>
      </x:c>
      <x:c r="L46" s="108" t="n">
        <x:v>37</x:v>
      </x:c>
      <x:c r="M46" s="108" t="str">
        <x:v>当班经验判断</x:v>
      </x:c>
      <x:c r="N46" s="108" t="n">
        <x:v>29</x:v>
      </x:c>
      <x:c r="O46" s="108" t="n">
        <x:v>43</x:v>
      </x:c>
      <x:c r="P46" s="108" t="n">
        <x:v>6</x:v>
      </x:c>
      <x:c r="Q46" s="91" t="str">
        <x:v>否</x:v>
      </x:c>
      <x:c r="R46" s="91" t="n">
        <x:v>2</x:v>
      </x:c>
      <x:c r="S46" s="91" t="str">
        <x:v>无</x:v>
      </x:c>
      <x:c r="T46" s="91" t="str">
        <x:v>模拟正常样本</x:v>
      </x:c>
      <x:c r="U46" s="91" t="n">
        <x:f>ABS(L46-N46)</x:f>
        <x:v>8</x:v>
      </x:c>
      <x:c r="V46" s="91" t="str">
        <x:f>IF(L46=K46,"沿用建议","人工调整")</x:f>
        <x:v>人工调整</x:v>
      </x:c>
      <x:c r="W46" s="92" t="str">
        <x:f>IF(Q46="是","售罄风险",IF(P46&gt;3,"损耗风险","正常"))</x:f>
        <x:v>损耗风险</x:v>
      </x:c>
    </x:row>
    <x:row r="47" ht="20" customHeight="1">
      <x:c r="A47" s="105" t="n">
        <x:v>46191</x:v>
      </x:c>
      <x:c r="B47" s="91" t="str">
        <x:v>模拟店 B（新开门店）</x:v>
      </x:c>
      <x:c r="C47" s="91" t="str">
        <x:v>新店</x:v>
      </x:c>
      <x:c r="D47" s="91" t="str">
        <x:v>桂花糖藕</x:v>
      </x:c>
      <x:c r="E47" s="91" t="str">
        <x:v>晚市</x:v>
      </x:c>
      <x:c r="F47" s="91" t="str">
        <x:v>工作日周四</x:v>
      </x:c>
      <x:c r="G47" s="91" t="str">
        <x:v>高温</x:v>
      </x:c>
      <x:c r="H47" s="91" t="str">
        <x:v>无</x:v>
      </x:c>
      <x:c r="I47" s="108" t="n">
        <x:v>22</x:v>
      </x:c>
      <x:c r="J47" s="108" t="n">
        <x:v>26</x:v>
      </x:c>
      <x:c r="K47" s="108" t="n">
        <x:v>26</x:v>
      </x:c>
      <x:c r="L47" s="108" t="n">
        <x:v>26</x:v>
      </x:c>
      <x:c r="M47" s="108" t="str">
        <x:v>沿用建议</x:v>
      </x:c>
      <x:c r="N47" s="108" t="n">
        <x:v>24</x:v>
      </x:c>
      <x:c r="O47" s="108" t="n">
        <x:v>37</x:v>
      </x:c>
      <x:c r="P47" s="108" t="n">
        <x:v>1</x:v>
      </x:c>
      <x:c r="Q47" s="91" t="str">
        <x:v>否</x:v>
      </x:c>
      <x:c r="R47" s="91" t="n">
        <x:v>1</x:v>
      </x:c>
      <x:c r="S47" s="91" t="str">
        <x:v>无</x:v>
      </x:c>
      <x:c r="T47" s="91" t="str">
        <x:v>模拟正常样本</x:v>
      </x:c>
      <x:c r="U47" s="91" t="n">
        <x:f>ABS(L47-N47)</x:f>
        <x:v>2</x:v>
      </x:c>
      <x:c r="V47" s="91" t="str">
        <x:f>IF(L47=K47,"沿用建议","人工调整")</x:f>
        <x:v>沿用建议</x:v>
      </x:c>
      <x:c r="W47" s="92" t="str">
        <x:f>IF(Q47="是","售罄风险",IF(P47&gt;3,"损耗风险","正常"))</x:f>
        <x:v>正常</x:v>
      </x:c>
    </x:row>
    <x:row r="48" ht="20" customHeight="1">
      <x:c r="A48" s="105" t="n">
        <x:v>46191</x:v>
      </x:c>
      <x:c r="B48" s="91" t="str">
        <x:v>模拟店 B（新开门店）</x:v>
      </x:c>
      <x:c r="C48" s="91" t="str">
        <x:v>新店</x:v>
      </x:c>
      <x:c r="D48" s="91" t="str">
        <x:v>藕夹</x:v>
      </x:c>
      <x:c r="E48" s="91" t="str">
        <x:v>晚市</x:v>
      </x:c>
      <x:c r="F48" s="91" t="str">
        <x:v>工作日周四</x:v>
      </x:c>
      <x:c r="G48" s="91" t="str">
        <x:v>高温</x:v>
      </x:c>
      <x:c r="H48" s="91" t="str">
        <x:v>无</x:v>
      </x:c>
      <x:c r="I48" s="108" t="n">
        <x:v>25</x:v>
      </x:c>
      <x:c r="J48" s="108" t="n">
        <x:v>29</x:v>
      </x:c>
      <x:c r="K48" s="108" t="n">
        <x:v>29</x:v>
      </x:c>
      <x:c r="L48" s="108" t="n">
        <x:v>29</x:v>
      </x:c>
      <x:c r="M48" s="108" t="str">
        <x:v>沿用建议</x:v>
      </x:c>
      <x:c r="N48" s="108" t="n">
        <x:v>26</x:v>
      </x:c>
      <x:c r="O48" s="108" t="n">
        <x:v>38</x:v>
      </x:c>
      <x:c r="P48" s="108" t="n">
        <x:v>1</x:v>
      </x:c>
      <x:c r="Q48" s="91" t="str">
        <x:v>否</x:v>
      </x:c>
      <x:c r="R48" s="91" t="n">
        <x:v>2</x:v>
      </x:c>
      <x:c r="S48" s="91" t="str">
        <x:v>无</x:v>
      </x:c>
      <x:c r="T48" s="91" t="str">
        <x:v>模拟正常样本</x:v>
      </x:c>
      <x:c r="U48" s="91" t="n">
        <x:f>ABS(L48-N48)</x:f>
        <x:v>3</x:v>
      </x:c>
      <x:c r="V48" s="91" t="str">
        <x:f>IF(L48=K48,"沿用建议","人工调整")</x:f>
        <x:v>沿用建议</x:v>
      </x:c>
      <x:c r="W48" s="92" t="str">
        <x:f>IF(Q48="是","售罄风险",IF(P48&gt;3,"损耗风险","正常"))</x:f>
        <x:v>正常</x:v>
      </x:c>
    </x:row>
    <x:row r="49" ht="20" customHeight="1">
      <x:c r="A49" s="105" t="n">
        <x:v>46191</x:v>
      </x:c>
      <x:c r="B49" s="91" t="str">
        <x:v>模拟店 C（社区门店）</x:v>
      </x:c>
      <x:c r="C49" s="91" t="str">
        <x:v>成长期</x:v>
      </x:c>
      <x:c r="D49" s="91" t="str">
        <x:v>筒骨煨藕汤</x:v>
      </x:c>
      <x:c r="E49" s="91" t="str">
        <x:v>晚市</x:v>
      </x:c>
      <x:c r="F49" s="91" t="str">
        <x:v>工作日周四</x:v>
      </x:c>
      <x:c r="G49" s="91" t="str">
        <x:v>常温</x:v>
      </x:c>
      <x:c r="H49" s="91" t="str">
        <x:v>无</x:v>
      </x:c>
      <x:c r="I49" s="108" t="n">
        <x:v>61</x:v>
      </x:c>
      <x:c r="J49" s="108" t="n">
        <x:v>68</x:v>
      </x:c>
      <x:c r="K49" s="108" t="n">
        <x:v>68</x:v>
      </x:c>
      <x:c r="L49" s="108" t="n">
        <x:v>68</x:v>
      </x:c>
      <x:c r="M49" s="108" t="str">
        <x:v>沿用建议</x:v>
      </x:c>
      <x:c r="N49" s="108" t="n">
        <x:v>66</x:v>
      </x:c>
      <x:c r="O49" s="108" t="n">
        <x:v>80</x:v>
      </x:c>
      <x:c r="P49" s="108" t="n">
        <x:v>0</x:v>
      </x:c>
      <x:c r="Q49" s="91" t="str">
        <x:v>否</x:v>
      </x:c>
      <x:c r="R49" s="91" t="n">
        <x:v>0</x:v>
      </x:c>
      <x:c r="S49" s="91" t="str">
        <x:v>无</x:v>
      </x:c>
      <x:c r="T49" s="91" t="str">
        <x:v>模拟正常样本</x:v>
      </x:c>
      <x:c r="U49" s="91" t="n">
        <x:f>ABS(L49-N49)</x:f>
        <x:v>2</x:v>
      </x:c>
      <x:c r="V49" s="91" t="str">
        <x:f>IF(L49=K49,"沿用建议","人工调整")</x:f>
        <x:v>沿用建议</x:v>
      </x:c>
      <x:c r="W49" s="92" t="str">
        <x:f>IF(Q49="是","售罄风险",IF(P49&gt;3,"损耗风险","正常"))</x:f>
        <x:v>正常</x:v>
      </x:c>
    </x:row>
    <x:row r="50" ht="20" customHeight="1">
      <x:c r="A50" s="105" t="n">
        <x:v>46191</x:v>
      </x:c>
      <x:c r="B50" s="91" t="str">
        <x:v>模拟店 C（社区门店）</x:v>
      </x:c>
      <x:c r="C50" s="91" t="str">
        <x:v>成长期</x:v>
      </x:c>
      <x:c r="D50" s="91" t="str">
        <x:v>粉蒸排骨</x:v>
      </x:c>
      <x:c r="E50" s="91" t="str">
        <x:v>晚市</x:v>
      </x:c>
      <x:c r="F50" s="91" t="str">
        <x:v>工作日周四</x:v>
      </x:c>
      <x:c r="G50" s="91" t="str">
        <x:v>常温</x:v>
      </x:c>
      <x:c r="H50" s="91" t="str">
        <x:v>无</x:v>
      </x:c>
      <x:c r="I50" s="108" t="n">
        <x:v>34</x:v>
      </x:c>
      <x:c r="J50" s="108" t="n">
        <x:v>38</x:v>
      </x:c>
      <x:c r="K50" s="108" t="n">
        <x:v>38</x:v>
      </x:c>
      <x:c r="L50" s="108" t="n">
        <x:v>38</x:v>
      </x:c>
      <x:c r="M50" s="108" t="str">
        <x:v>沿用建议</x:v>
      </x:c>
      <x:c r="N50" s="108" t="n">
        <x:v>37</x:v>
      </x:c>
      <x:c r="O50" s="108" t="n">
        <x:v>50</x:v>
      </x:c>
      <x:c r="P50" s="108" t="n">
        <x:v>0</x:v>
      </x:c>
      <x:c r="Q50" s="91" t="str">
        <x:v>否</x:v>
      </x:c>
      <x:c r="R50" s="91" t="n">
        <x:v>3</x:v>
      </x:c>
      <x:c r="S50" s="91" t="str">
        <x:v>无</x:v>
      </x:c>
      <x:c r="T50" s="91" t="str">
        <x:v>模拟正常样本</x:v>
      </x:c>
      <x:c r="U50" s="91" t="n">
        <x:f>ABS(L50-N50)</x:f>
        <x:v>1</x:v>
      </x:c>
      <x:c r="V50" s="91" t="str">
        <x:f>IF(L50=K50,"沿用建议","人工调整")</x:f>
        <x:v>沿用建议</x:v>
      </x:c>
      <x:c r="W50" s="92" t="str">
        <x:f>IF(Q50="是","售罄风险",IF(P50&gt;3,"损耗风险","正常"))</x:f>
        <x:v>正常</x:v>
      </x:c>
    </x:row>
    <x:row r="51" ht="20" customHeight="1">
      <x:c r="A51" s="105" t="n">
        <x:v>46191</x:v>
      </x:c>
      <x:c r="B51" s="91" t="str">
        <x:v>模拟店 C（社区门店）</x:v>
      </x:c>
      <x:c r="C51" s="91" t="str">
        <x:v>成长期</x:v>
      </x:c>
      <x:c r="D51" s="91" t="str">
        <x:v>桂花糖藕</x:v>
      </x:c>
      <x:c r="E51" s="91" t="str">
        <x:v>晚市</x:v>
      </x:c>
      <x:c r="F51" s="91" t="str">
        <x:v>工作日周四</x:v>
      </x:c>
      <x:c r="G51" s="91" t="str">
        <x:v>常温</x:v>
      </x:c>
      <x:c r="H51" s="91" t="str">
        <x:v>无</x:v>
      </x:c>
      <x:c r="I51" s="108" t="n">
        <x:v>24</x:v>
      </x:c>
      <x:c r="J51" s="108" t="n">
        <x:v>28</x:v>
      </x:c>
      <x:c r="K51" s="108" t="n">
        <x:v>28</x:v>
      </x:c>
      <x:c r="L51" s="108" t="n">
        <x:v>28</x:v>
      </x:c>
      <x:c r="M51" s="108" t="str">
        <x:v>沿用建议</x:v>
      </x:c>
      <x:c r="N51" s="108" t="n">
        <x:v>27</x:v>
      </x:c>
      <x:c r="O51" s="108" t="n">
        <x:v>39</x:v>
      </x:c>
      <x:c r="P51" s="108" t="n">
        <x:v>0</x:v>
      </x:c>
      <x:c r="Q51" s="91" t="str">
        <x:v>否</x:v>
      </x:c>
      <x:c r="R51" s="91" t="n">
        <x:v>2</x:v>
      </x:c>
      <x:c r="S51" s="91" t="str">
        <x:v>无</x:v>
      </x:c>
      <x:c r="T51" s="91" t="str">
        <x:v>模拟正常样本</x:v>
      </x:c>
      <x:c r="U51" s="91" t="n">
        <x:f>ABS(L51-N51)</x:f>
        <x:v>1</x:v>
      </x:c>
      <x:c r="V51" s="91" t="str">
        <x:f>IF(L51=K51,"沿用建议","人工调整")</x:f>
        <x:v>沿用建议</x:v>
      </x:c>
      <x:c r="W51" s="92" t="str">
        <x:f>IF(Q51="是","售罄风险",IF(P51&gt;3,"损耗风险","正常"))</x:f>
        <x:v>正常</x:v>
      </x:c>
    </x:row>
    <x:row r="52" ht="20" customHeight="1">
      <x:c r="A52" s="105" t="n">
        <x:v>46191</x:v>
      </x:c>
      <x:c r="B52" s="91" t="str">
        <x:v>模拟店 C（社区门店）</x:v>
      </x:c>
      <x:c r="C52" s="91" t="str">
        <x:v>成长期</x:v>
      </x:c>
      <x:c r="D52" s="91" t="str">
        <x:v>藕夹</x:v>
      </x:c>
      <x:c r="E52" s="91" t="str">
        <x:v>晚市</x:v>
      </x:c>
      <x:c r="F52" s="91" t="str">
        <x:v>工作日周四</x:v>
      </x:c>
      <x:c r="G52" s="91" t="str">
        <x:v>常温</x:v>
      </x:c>
      <x:c r="H52" s="91" t="str">
        <x:v>无</x:v>
      </x:c>
      <x:c r="I52" s="108" t="n">
        <x:v>28</x:v>
      </x:c>
      <x:c r="J52" s="108" t="n">
        <x:v>32</x:v>
      </x:c>
      <x:c r="K52" s="108" t="n">
        <x:v>32</x:v>
      </x:c>
      <x:c r="L52" s="108" t="n">
        <x:v>32</x:v>
      </x:c>
      <x:c r="M52" s="108" t="str">
        <x:v>沿用建议</x:v>
      </x:c>
      <x:c r="N52" s="108" t="n">
        <x:v>29</x:v>
      </x:c>
      <x:c r="O52" s="108" t="n">
        <x:v>41</x:v>
      </x:c>
      <x:c r="P52" s="108" t="n">
        <x:v>1</x:v>
      </x:c>
      <x:c r="Q52" s="91" t="str">
        <x:v>否</x:v>
      </x:c>
      <x:c r="R52" s="91" t="n">
        <x:v>2</x:v>
      </x:c>
      <x:c r="S52" s="91" t="str">
        <x:v>无</x:v>
      </x:c>
      <x:c r="T52" s="91" t="str">
        <x:v>模拟正常样本</x:v>
      </x:c>
      <x:c r="U52" s="91" t="n">
        <x:f>ABS(L52-N52)</x:f>
        <x:v>3</x:v>
      </x:c>
      <x:c r="V52" s="91" t="str">
        <x:f>IF(L52=K52,"沿用建议","人工调整")</x:f>
        <x:v>沿用建议</x:v>
      </x:c>
      <x:c r="W52" s="92" t="str">
        <x:f>IF(Q52="是","售罄风险",IF(P52&gt;3,"损耗风险","正常"))</x:f>
        <x:v>正常</x:v>
      </x:c>
    </x:row>
    <x:row r="53" ht="20" customHeight="1">
      <x:c r="A53" s="105" t="n">
        <x:v>46192</x:v>
      </x:c>
      <x:c r="B53" s="91" t="str">
        <x:v>模拟店 A（成熟商圈）</x:v>
      </x:c>
      <x:c r="C53" s="91" t="str">
        <x:v>成熟店</x:v>
      </x:c>
      <x:c r="D53" s="91" t="str">
        <x:v>筒骨煨藕汤</x:v>
      </x:c>
      <x:c r="E53" s="91" t="str">
        <x:v>晚市</x:v>
      </x:c>
      <x:c r="F53" s="91" t="str">
        <x:v>工作日周五</x:v>
      </x:c>
      <x:c r="G53" s="91" t="str">
        <x:v>高温</x:v>
      </x:c>
      <x:c r="H53" s="91" t="str">
        <x:v>无</x:v>
      </x:c>
      <x:c r="I53" s="108" t="n">
        <x:v>62</x:v>
      </x:c>
      <x:c r="J53" s="108" t="n">
        <x:v>70</x:v>
      </x:c>
      <x:c r="K53" s="108" t="n">
        <x:v>70</x:v>
      </x:c>
      <x:c r="L53" s="108" t="n">
        <x:v>70</x:v>
      </x:c>
      <x:c r="M53" s="108" t="str">
        <x:v>沿用建议</x:v>
      </x:c>
      <x:c r="N53" s="108" t="n">
        <x:v>57</x:v>
      </x:c>
      <x:c r="O53" s="108" t="n">
        <x:v>83</x:v>
      </x:c>
      <x:c r="P53" s="108" t="n">
        <x:v>11</x:v>
      </x:c>
      <x:c r="Q53" s="91" t="str">
        <x:v>否</x:v>
      </x:c>
      <x:c r="R53" s="91" t="n">
        <x:v>0</x:v>
      </x:c>
      <x:c r="S53" s="91" t="str">
        <x:v>无</x:v>
      </x:c>
      <x:c r="T53" s="91" t="str">
        <x:v>模拟正常样本</x:v>
      </x:c>
      <x:c r="U53" s="91" t="n">
        <x:f>ABS(L53-N53)</x:f>
        <x:v>13</x:v>
      </x:c>
      <x:c r="V53" s="91" t="str">
        <x:f>IF(L53=K53,"沿用建议","人工调整")</x:f>
        <x:v>沿用建议</x:v>
      </x:c>
      <x:c r="W53" s="92" t="str">
        <x:f>IF(Q53="是","售罄风险",IF(P53&gt;3,"损耗风险","正常"))</x:f>
        <x:v>损耗风险</x:v>
      </x:c>
    </x:row>
    <x:row r="54" ht="20" customHeight="1">
      <x:c r="A54" s="105" t="n">
        <x:v>46192</x:v>
      </x:c>
      <x:c r="B54" s="91" t="str">
        <x:v>模拟店 A（成熟商圈）</x:v>
      </x:c>
      <x:c r="C54" s="91" t="str">
        <x:v>成熟店</x:v>
      </x:c>
      <x:c r="D54" s="91" t="str">
        <x:v>粉蒸排骨</x:v>
      </x:c>
      <x:c r="E54" s="91" t="str">
        <x:v>晚市</x:v>
      </x:c>
      <x:c r="F54" s="91" t="str">
        <x:v>工作日周五</x:v>
      </x:c>
      <x:c r="G54" s="91" t="str">
        <x:v>高温</x:v>
      </x:c>
      <x:c r="H54" s="91" t="str">
        <x:v>无</x:v>
      </x:c>
      <x:c r="I54" s="108" t="n">
        <x:v>40</x:v>
      </x:c>
      <x:c r="J54" s="108" t="n">
        <x:v>44</x:v>
      </x:c>
      <x:c r="K54" s="108" t="n">
        <x:v>44</x:v>
      </x:c>
      <x:c r="L54" s="108" t="n">
        <x:v>44</x:v>
      </x:c>
      <x:c r="M54" s="108" t="str">
        <x:v>沿用建议</x:v>
      </x:c>
      <x:c r="N54" s="108" t="n">
        <x:v>43</x:v>
      </x:c>
      <x:c r="O54" s="108" t="n">
        <x:v>59</x:v>
      </x:c>
      <x:c r="P54" s="108" t="n">
        <x:v>0</x:v>
      </x:c>
      <x:c r="Q54" s="91" t="str">
        <x:v>否</x:v>
      </x:c>
      <x:c r="R54" s="91" t="n">
        <x:v>1</x:v>
      </x:c>
      <x:c r="S54" s="91" t="str">
        <x:v>无</x:v>
      </x:c>
      <x:c r="T54" s="91" t="str">
        <x:v>模拟正常样本</x:v>
      </x:c>
      <x:c r="U54" s="91" t="n">
        <x:f>ABS(L54-N54)</x:f>
        <x:v>1</x:v>
      </x:c>
      <x:c r="V54" s="91" t="str">
        <x:f>IF(L54=K54,"沿用建议","人工调整")</x:f>
        <x:v>沿用建议</x:v>
      </x:c>
      <x:c r="W54" s="92" t="str">
        <x:f>IF(Q54="是","售罄风险",IF(P54&gt;3,"损耗风险","正常"))</x:f>
        <x:v>正常</x:v>
      </x:c>
    </x:row>
    <x:row r="55" ht="20" customHeight="1">
      <x:c r="A55" s="105" t="n">
        <x:v>46192</x:v>
      </x:c>
      <x:c r="B55" s="91" t="str">
        <x:v>模拟店 A（成熟商圈）</x:v>
      </x:c>
      <x:c r="C55" s="91" t="str">
        <x:v>成熟店</x:v>
      </x:c>
      <x:c r="D55" s="91" t="str">
        <x:v>桂花糖藕</x:v>
      </x:c>
      <x:c r="E55" s="91" t="str">
        <x:v>晚市</x:v>
      </x:c>
      <x:c r="F55" s="91" t="str">
        <x:v>工作日周五</x:v>
      </x:c>
      <x:c r="G55" s="91" t="str">
        <x:v>高温</x:v>
      </x:c>
      <x:c r="H55" s="91" t="str">
        <x:v>无</x:v>
      </x:c>
      <x:c r="I55" s="108" t="n">
        <x:v>28</x:v>
      </x:c>
      <x:c r="J55" s="108" t="n">
        <x:v>32</x:v>
      </x:c>
      <x:c r="K55" s="108" t="n">
        <x:v>32</x:v>
      </x:c>
      <x:c r="L55" s="108" t="n">
        <x:v>32</x:v>
      </x:c>
      <x:c r="M55" s="108" t="str">
        <x:v>沿用建议</x:v>
      </x:c>
      <x:c r="N55" s="108" t="n">
        <x:v>29</x:v>
      </x:c>
      <x:c r="O55" s="108" t="n">
        <x:v>43</x:v>
      </x:c>
      <x:c r="P55" s="108" t="n">
        <x:v>2</x:v>
      </x:c>
      <x:c r="Q55" s="91" t="str">
        <x:v>否</x:v>
      </x:c>
      <x:c r="R55" s="91" t="n">
        <x:v>2</x:v>
      </x:c>
      <x:c r="S55" s="91" t="str">
        <x:v>无</x:v>
      </x:c>
      <x:c r="T55" s="91" t="str">
        <x:v>模拟正常样本</x:v>
      </x:c>
      <x:c r="U55" s="91" t="n">
        <x:f>ABS(L55-N55)</x:f>
        <x:v>3</x:v>
      </x:c>
      <x:c r="V55" s="91" t="str">
        <x:f>IF(L55=K55,"沿用建议","人工调整")</x:f>
        <x:v>沿用建议</x:v>
      </x:c>
      <x:c r="W55" s="92" t="str">
        <x:f>IF(Q55="是","售罄风险",IF(P55&gt;3,"损耗风险","正常"))</x:f>
        <x:v>正常</x:v>
      </x:c>
    </x:row>
    <x:row r="56" ht="20" customHeight="1">
      <x:c r="A56" s="105" t="n">
        <x:v>46192</x:v>
      </x:c>
      <x:c r="B56" s="91" t="str">
        <x:v>模拟店 A（成熟商圈）</x:v>
      </x:c>
      <x:c r="C56" s="91" t="str">
        <x:v>成熟店</x:v>
      </x:c>
      <x:c r="D56" s="91" t="str">
        <x:v>藕夹</x:v>
      </x:c>
      <x:c r="E56" s="91" t="str">
        <x:v>晚市</x:v>
      </x:c>
      <x:c r="F56" s="91" t="str">
        <x:v>工作日周五</x:v>
      </x:c>
      <x:c r="G56" s="91" t="str">
        <x:v>高温</x:v>
      </x:c>
      <x:c r="H56" s="91" t="str">
        <x:v>无</x:v>
      </x:c>
      <x:c r="I56" s="108" t="n">
        <x:v>35</x:v>
      </x:c>
      <x:c r="J56" s="108" t="n">
        <x:v>39</x:v>
      </x:c>
      <x:c r="K56" s="108" t="n">
        <x:v>39</x:v>
      </x:c>
      <x:c r="L56" s="108" t="n">
        <x:v>39</x:v>
      </x:c>
      <x:c r="M56" s="108" t="str">
        <x:v>沿用建议</x:v>
      </x:c>
      <x:c r="N56" s="108" t="n">
        <x:v>35</x:v>
      </x:c>
      <x:c r="O56" s="108" t="n">
        <x:v>48</x:v>
      </x:c>
      <x:c r="P56" s="108" t="n">
        <x:v>2</x:v>
      </x:c>
      <x:c r="Q56" s="91" t="str">
        <x:v>否</x:v>
      </x:c>
      <x:c r="R56" s="91" t="n">
        <x:v>2</x:v>
      </x:c>
      <x:c r="S56" s="91" t="str">
        <x:v>无</x:v>
      </x:c>
      <x:c r="T56" s="91" t="str">
        <x:v>模拟正常样本</x:v>
      </x:c>
      <x:c r="U56" s="91" t="n">
        <x:f>ABS(L56-N56)</x:f>
        <x:v>4</x:v>
      </x:c>
      <x:c r="V56" s="91" t="str">
        <x:f>IF(L56=K56,"沿用建议","人工调整")</x:f>
        <x:v>沿用建议</x:v>
      </x:c>
      <x:c r="W56" s="92" t="str">
        <x:f>IF(Q56="是","售罄风险",IF(P56&gt;3,"损耗风险","正常"))</x:f>
        <x:v>正常</x:v>
      </x:c>
    </x:row>
    <x:row r="57" ht="20" customHeight="1">
      <x:c r="A57" s="105" t="n">
        <x:v>46192</x:v>
      </x:c>
      <x:c r="B57" s="91" t="str">
        <x:v>模拟店 B（新开门店）</x:v>
      </x:c>
      <x:c r="C57" s="91" t="str">
        <x:v>新店</x:v>
      </x:c>
      <x:c r="D57" s="91" t="str">
        <x:v>筒骨煨藕汤</x:v>
      </x:c>
      <x:c r="E57" s="91" t="str">
        <x:v>晚市</x:v>
      </x:c>
      <x:c r="F57" s="91" t="str">
        <x:v>工作日周五</x:v>
      </x:c>
      <x:c r="G57" s="91" t="str">
        <x:v>常温</x:v>
      </x:c>
      <x:c r="H57" s="91" t="str">
        <x:v>无</x:v>
      </x:c>
      <x:c r="I57" s="108" t="n">
        <x:v>53</x:v>
      </x:c>
      <x:c r="J57" s="108" t="n">
        <x:v>60</x:v>
      </x:c>
      <x:c r="K57" s="108" t="n">
        <x:v>60</x:v>
      </x:c>
      <x:c r="L57" s="108" t="n">
        <x:v>60</x:v>
      </x:c>
      <x:c r="M57" s="108" t="str">
        <x:v>沿用建议</x:v>
      </x:c>
      <x:c r="N57" s="108" t="n">
        <x:v>49</x:v>
      </x:c>
      <x:c r="O57" s="108" t="n">
        <x:v>75</x:v>
      </x:c>
      <x:c r="P57" s="108" t="n">
        <x:v>9</x:v>
      </x:c>
      <x:c r="Q57" s="91" t="str">
        <x:v>否</x:v>
      </x:c>
      <x:c r="R57" s="91" t="n">
        <x:v>2</x:v>
      </x:c>
      <x:c r="S57" s="91" t="str">
        <x:v>无</x:v>
      </x:c>
      <x:c r="T57" s="91" t="str">
        <x:v>模拟正常样本</x:v>
      </x:c>
      <x:c r="U57" s="91" t="n">
        <x:f>ABS(L57-N57)</x:f>
        <x:v>11</x:v>
      </x:c>
      <x:c r="V57" s="91" t="str">
        <x:f>IF(L57=K57,"沿用建议","人工调整")</x:f>
        <x:v>沿用建议</x:v>
      </x:c>
      <x:c r="W57" s="92" t="str">
        <x:f>IF(Q57="是","售罄风险",IF(P57&gt;3,"损耗风险","正常"))</x:f>
        <x:v>损耗风险</x:v>
      </x:c>
    </x:row>
    <x:row r="58" ht="20" customHeight="1">
      <x:c r="A58" s="105" t="n">
        <x:v>46192</x:v>
      </x:c>
      <x:c r="B58" s="91" t="str">
        <x:v>模拟店 B（新开门店）</x:v>
      </x:c>
      <x:c r="C58" s="91" t="str">
        <x:v>新店</x:v>
      </x:c>
      <x:c r="D58" s="91" t="str">
        <x:v>粉蒸排骨</x:v>
      </x:c>
      <x:c r="E58" s="91" t="str">
        <x:v>晚市</x:v>
      </x:c>
      <x:c r="F58" s="91" t="str">
        <x:v>工作日周五</x:v>
      </x:c>
      <x:c r="G58" s="91" t="str">
        <x:v>常温</x:v>
      </x:c>
      <x:c r="H58" s="91" t="str">
        <x:v>无</x:v>
      </x:c>
      <x:c r="I58" s="108" t="n">
        <x:v>31</x:v>
      </x:c>
      <x:c r="J58" s="108" t="n">
        <x:v>35</x:v>
      </x:c>
      <x:c r="K58" s="108" t="n">
        <x:v>35</x:v>
      </x:c>
      <x:c r="L58" s="108" t="n">
        <x:v>35</x:v>
      </x:c>
      <x:c r="M58" s="108" t="str">
        <x:v>沿用建议</x:v>
      </x:c>
      <x:c r="N58" s="108" t="n">
        <x:v>28</x:v>
      </x:c>
      <x:c r="O58" s="108" t="n">
        <x:v>48</x:v>
      </x:c>
      <x:c r="P58" s="108" t="n">
        <x:v>5</x:v>
      </x:c>
      <x:c r="Q58" s="91" t="str">
        <x:v>否</x:v>
      </x:c>
      <x:c r="R58" s="91" t="n">
        <x:v>0</x:v>
      </x:c>
      <x:c r="S58" s="91" t="str">
        <x:v>无</x:v>
      </x:c>
      <x:c r="T58" s="91" t="str">
        <x:v>模拟正常样本</x:v>
      </x:c>
      <x:c r="U58" s="91" t="n">
        <x:f>ABS(L58-N58)</x:f>
        <x:v>7</x:v>
      </x:c>
      <x:c r="V58" s="91" t="str">
        <x:f>IF(L58=K58,"沿用建议","人工调整")</x:f>
        <x:v>沿用建议</x:v>
      </x:c>
      <x:c r="W58" s="92" t="str">
        <x:f>IF(Q58="是","售罄风险",IF(P58&gt;3,"损耗风险","正常"))</x:f>
        <x:v>损耗风险</x:v>
      </x:c>
    </x:row>
    <x:row r="59" ht="20" customHeight="1">
      <x:c r="A59" s="105" t="n">
        <x:v>46192</x:v>
      </x:c>
      <x:c r="B59" s="91" t="str">
        <x:v>模拟店 B（新开门店）</x:v>
      </x:c>
      <x:c r="C59" s="91" t="str">
        <x:v>新店</x:v>
      </x:c>
      <x:c r="D59" s="91" t="str">
        <x:v>桂花糖藕</x:v>
      </x:c>
      <x:c r="E59" s="91" t="str">
        <x:v>晚市</x:v>
      </x:c>
      <x:c r="F59" s="91" t="str">
        <x:v>工作日周五</x:v>
      </x:c>
      <x:c r="G59" s="91" t="str">
        <x:v>常温</x:v>
      </x:c>
      <x:c r="H59" s="91" t="str">
        <x:v>无</x:v>
      </x:c>
      <x:c r="I59" s="108" t="n">
        <x:v>22</x:v>
      </x:c>
      <x:c r="J59" s="108" t="n">
        <x:v>26</x:v>
      </x:c>
      <x:c r="K59" s="108" t="n">
        <x:v>26</x:v>
      </x:c>
      <x:c r="L59" s="108" t="n">
        <x:v>26</x:v>
      </x:c>
      <x:c r="M59" s="108" t="str">
        <x:v>沿用建议</x:v>
      </x:c>
      <x:c r="N59" s="108" t="n">
        <x:v>24</x:v>
      </x:c>
      <x:c r="O59" s="108" t="n">
        <x:v>34</x:v>
      </x:c>
      <x:c r="P59" s="108" t="n">
        <x:v>1</x:v>
      </x:c>
      <x:c r="Q59" s="91" t="str">
        <x:v>否</x:v>
      </x:c>
      <x:c r="R59" s="91" t="n">
        <x:v>0</x:v>
      </x:c>
      <x:c r="S59" s="91" t="str">
        <x:v>无</x:v>
      </x:c>
      <x:c r="T59" s="91" t="str">
        <x:v>模拟正常样本</x:v>
      </x:c>
      <x:c r="U59" s="91" t="n">
        <x:f>ABS(L59-N59)</x:f>
        <x:v>2</x:v>
      </x:c>
      <x:c r="V59" s="91" t="str">
        <x:f>IF(L59=K59,"沿用建议","人工调整")</x:f>
        <x:v>沿用建议</x:v>
      </x:c>
      <x:c r="W59" s="92" t="str">
        <x:f>IF(Q59="是","售罄风险",IF(P59&gt;3,"损耗风险","正常"))</x:f>
        <x:v>正常</x:v>
      </x:c>
    </x:row>
    <x:row r="60" ht="20" customHeight="1">
      <x:c r="A60" s="105" t="n">
        <x:v>46192</x:v>
      </x:c>
      <x:c r="B60" s="91" t="str">
        <x:v>模拟店 B（新开门店）</x:v>
      </x:c>
      <x:c r="C60" s="91" t="str">
        <x:v>新店</x:v>
      </x:c>
      <x:c r="D60" s="91" t="str">
        <x:v>藕夹</x:v>
      </x:c>
      <x:c r="E60" s="91" t="str">
        <x:v>晚市</x:v>
      </x:c>
      <x:c r="F60" s="91" t="str">
        <x:v>工作日周五</x:v>
      </x:c>
      <x:c r="G60" s="91" t="str">
        <x:v>常温</x:v>
      </x:c>
      <x:c r="H60" s="91" t="str">
        <x:v>无</x:v>
      </x:c>
      <x:c r="I60" s="108" t="n">
        <x:v>26</x:v>
      </x:c>
      <x:c r="J60" s="108" t="n">
        <x:v>30</x:v>
      </x:c>
      <x:c r="K60" s="108" t="n">
        <x:v>30</x:v>
      </x:c>
      <x:c r="L60" s="108" t="n">
        <x:v>28</x:v>
      </x:c>
      <x:c r="M60" s="108" t="str">
        <x:v>商圈活动临时变化</x:v>
      </x:c>
      <x:c r="N60" s="108" t="n">
        <x:v>24</x:v>
      </x:c>
      <x:c r="O60" s="108" t="n">
        <x:v>39</x:v>
      </x:c>
      <x:c r="P60" s="108" t="n">
        <x:v>2</x:v>
      </x:c>
      <x:c r="Q60" s="91" t="str">
        <x:v>否</x:v>
      </x:c>
      <x:c r="R60" s="91" t="n">
        <x:v>1</x:v>
      </x:c>
      <x:c r="S60" s="91" t="str">
        <x:v>无</x:v>
      </x:c>
      <x:c r="T60" s="91" t="str">
        <x:v>模拟正常样本</x:v>
      </x:c>
      <x:c r="U60" s="91" t="n">
        <x:f>ABS(L60-N60)</x:f>
        <x:v>4</x:v>
      </x:c>
      <x:c r="V60" s="91" t="str">
        <x:f>IF(L60=K60,"沿用建议","人工调整")</x:f>
        <x:v>人工调整</x:v>
      </x:c>
      <x:c r="W60" s="92" t="str">
        <x:f>IF(Q60="是","售罄风险",IF(P60&gt;3,"损耗风险","正常"))</x:f>
        <x:v>正常</x:v>
      </x:c>
    </x:row>
    <x:row r="61" ht="20" customHeight="1">
      <x:c r="A61" s="105" t="n">
        <x:v>46192</x:v>
      </x:c>
      <x:c r="B61" s="91" t="str">
        <x:v>模拟店 C（社区门店）</x:v>
      </x:c>
      <x:c r="C61" s="91" t="str">
        <x:v>成长期</x:v>
      </x:c>
      <x:c r="D61" s="91" t="str">
        <x:v>筒骨煨藕汤</x:v>
      </x:c>
      <x:c r="E61" s="91" t="str">
        <x:v>晚市</x:v>
      </x:c>
      <x:c r="F61" s="91" t="str">
        <x:v>工作日周五</x:v>
      </x:c>
      <x:c r="G61" s="91" t="str">
        <x:v>降温</x:v>
      </x:c>
      <x:c r="H61" s="91" t="str">
        <x:v>无</x:v>
      </x:c>
      <x:c r="I61" s="108" t="n">
        <x:v>67</x:v>
      </x:c>
      <x:c r="J61" s="108" t="n">
        <x:v>75</x:v>
      </x:c>
      <x:c r="K61" s="108" t="n">
        <x:v>75</x:v>
      </x:c>
      <x:c r="L61" s="108" t="n">
        <x:v>75</x:v>
      </x:c>
      <x:c r="M61" s="108" t="str">
        <x:v>沿用建议</x:v>
      </x:c>
      <x:c r="N61" s="108" t="n">
        <x:v>69</x:v>
      </x:c>
      <x:c r="O61" s="108" t="n">
        <x:v>85</x:v>
      </x:c>
      <x:c r="P61" s="108" t="n">
        <x:v>4</x:v>
      </x:c>
      <x:c r="Q61" s="91" t="str">
        <x:v>否</x:v>
      </x:c>
      <x:c r="R61" s="91" t="n">
        <x:v>2</x:v>
      </x:c>
      <x:c r="S61" s="91" t="str">
        <x:v>无</x:v>
      </x:c>
      <x:c r="T61" s="91" t="str">
        <x:v>模拟正常样本</x:v>
      </x:c>
      <x:c r="U61" s="91" t="n">
        <x:f>ABS(L61-N61)</x:f>
        <x:v>6</x:v>
      </x:c>
      <x:c r="V61" s="91" t="str">
        <x:f>IF(L61=K61,"沿用建议","人工调整")</x:f>
        <x:v>沿用建议</x:v>
      </x:c>
      <x:c r="W61" s="92" t="str">
        <x:f>IF(Q61="是","售罄风险",IF(P61&gt;3,"损耗风险","正常"))</x:f>
        <x:v>损耗风险</x:v>
      </x:c>
    </x:row>
    <x:row r="62" ht="20" customHeight="1">
      <x:c r="A62" s="105" t="n">
        <x:v>46192</x:v>
      </x:c>
      <x:c r="B62" s="91" t="str">
        <x:v>模拟店 C（社区门店）</x:v>
      </x:c>
      <x:c r="C62" s="91" t="str">
        <x:v>成长期</x:v>
      </x:c>
      <x:c r="D62" s="91" t="str">
        <x:v>粉蒸排骨</x:v>
      </x:c>
      <x:c r="E62" s="91" t="str">
        <x:v>晚市</x:v>
      </x:c>
      <x:c r="F62" s="91" t="str">
        <x:v>工作日周五</x:v>
      </x:c>
      <x:c r="G62" s="91" t="str">
        <x:v>降温</x:v>
      </x:c>
      <x:c r="H62" s="91" t="str">
        <x:v>无</x:v>
      </x:c>
      <x:c r="I62" s="108" t="n">
        <x:v>36</x:v>
      </x:c>
      <x:c r="J62" s="108" t="n">
        <x:v>40</x:v>
      </x:c>
      <x:c r="K62" s="108" t="n">
        <x:v>40</x:v>
      </x:c>
      <x:c r="L62" s="108" t="n">
        <x:v>40</x:v>
      </x:c>
      <x:c r="M62" s="108" t="str">
        <x:v>沿用建议</x:v>
      </x:c>
      <x:c r="N62" s="108" t="n">
        <x:v>35</x:v>
      </x:c>
      <x:c r="O62" s="108" t="n">
        <x:v>53</x:v>
      </x:c>
      <x:c r="P62" s="108" t="n">
        <x:v>3</x:v>
      </x:c>
      <x:c r="Q62" s="91" t="str">
        <x:v>否</x:v>
      </x:c>
      <x:c r="R62" s="91" t="n">
        <x:v>1</x:v>
      </x:c>
      <x:c r="S62" s="91" t="str">
        <x:v>无</x:v>
      </x:c>
      <x:c r="T62" s="91" t="str">
        <x:v>模拟正常样本</x:v>
      </x:c>
      <x:c r="U62" s="91" t="n">
        <x:f>ABS(L62-N62)</x:f>
        <x:v>5</x:v>
      </x:c>
      <x:c r="V62" s="91" t="str">
        <x:f>IF(L62=K62,"沿用建议","人工调整")</x:f>
        <x:v>沿用建议</x:v>
      </x:c>
      <x:c r="W62" s="92" t="str">
        <x:f>IF(Q62="是","售罄风险",IF(P62&gt;3,"损耗风险","正常"))</x:f>
        <x:v>正常</x:v>
      </x:c>
    </x:row>
    <x:row r="63" ht="20" customHeight="1">
      <x:c r="A63" s="105" t="n">
        <x:v>46192</x:v>
      </x:c>
      <x:c r="B63" s="91" t="str">
        <x:v>模拟店 C（社区门店）</x:v>
      </x:c>
      <x:c r="C63" s="91" t="str">
        <x:v>成长期</x:v>
      </x:c>
      <x:c r="D63" s="91" t="str">
        <x:v>桂花糖藕</x:v>
      </x:c>
      <x:c r="E63" s="91" t="str">
        <x:v>晚市</x:v>
      </x:c>
      <x:c r="F63" s="91" t="str">
        <x:v>工作日周五</x:v>
      </x:c>
      <x:c r="G63" s="91" t="str">
        <x:v>降温</x:v>
      </x:c>
      <x:c r="H63" s="91" t="str">
        <x:v>无</x:v>
      </x:c>
      <x:c r="I63" s="108" t="n">
        <x:v>23</x:v>
      </x:c>
      <x:c r="J63" s="108" t="n">
        <x:v>27</x:v>
      </x:c>
      <x:c r="K63" s="108" t="n">
        <x:v>27</x:v>
      </x:c>
      <x:c r="L63" s="108" t="n">
        <x:v>27</x:v>
      </x:c>
      <x:c r="M63" s="108" t="str">
        <x:v>沿用建议</x:v>
      </x:c>
      <x:c r="N63" s="108" t="n">
        <x:v>25</x:v>
      </x:c>
      <x:c r="O63" s="108" t="n">
        <x:v>34</x:v>
      </x:c>
      <x:c r="P63" s="108" t="n">
        <x:v>1</x:v>
      </x:c>
      <x:c r="Q63" s="91" t="str">
        <x:v>否</x:v>
      </x:c>
      <x:c r="R63" s="91" t="n">
        <x:v>2</x:v>
      </x:c>
      <x:c r="S63" s="91" t="str">
        <x:v>无</x:v>
      </x:c>
      <x:c r="T63" s="91" t="str">
        <x:v>模拟正常样本</x:v>
      </x:c>
      <x:c r="U63" s="91" t="n">
        <x:f>ABS(L63-N63)</x:f>
        <x:v>2</x:v>
      </x:c>
      <x:c r="V63" s="91" t="str">
        <x:f>IF(L63=K63,"沿用建议","人工调整")</x:f>
        <x:v>沿用建议</x:v>
      </x:c>
      <x:c r="W63" s="92" t="str">
        <x:f>IF(Q63="是","售罄风险",IF(P63&gt;3,"损耗风险","正常"))</x:f>
        <x:v>正常</x:v>
      </x:c>
    </x:row>
    <x:row r="64" ht="20" customHeight="1">
      <x:c r="A64" s="105" t="n">
        <x:v>46192</x:v>
      </x:c>
      <x:c r="B64" s="91" t="str">
        <x:v>模拟店 C（社区门店）</x:v>
      </x:c>
      <x:c r="C64" s="91" t="str">
        <x:v>成长期</x:v>
      </x:c>
      <x:c r="D64" s="91" t="str">
        <x:v>藕夹</x:v>
      </x:c>
      <x:c r="E64" s="91" t="str">
        <x:v>晚市</x:v>
      </x:c>
      <x:c r="F64" s="91" t="str">
        <x:v>工作日周五</x:v>
      </x:c>
      <x:c r="G64" s="91" t="str">
        <x:v>降温</x:v>
      </x:c>
      <x:c r="H64" s="91" t="str">
        <x:v>无</x:v>
      </x:c>
      <x:c r="I64" s="108" t="n">
        <x:v>28</x:v>
      </x:c>
      <x:c r="J64" s="108" t="n">
        <x:v>32</x:v>
      </x:c>
      <x:c r="K64" s="108" t="n">
        <x:v>32</x:v>
      </x:c>
      <x:c r="L64" s="108" t="n">
        <x:v>32</x:v>
      </x:c>
      <x:c r="M64" s="108" t="str">
        <x:v>沿用建议</x:v>
      </x:c>
      <x:c r="N64" s="108" t="n">
        <x:v>29</x:v>
      </x:c>
      <x:c r="O64" s="108" t="n">
        <x:v>42</x:v>
      </x:c>
      <x:c r="P64" s="108" t="n">
        <x:v>1</x:v>
      </x:c>
      <x:c r="Q64" s="91" t="str">
        <x:v>否</x:v>
      </x:c>
      <x:c r="R64" s="91" t="n">
        <x:v>1</x:v>
      </x:c>
      <x:c r="S64" s="91" t="str">
        <x:v>无</x:v>
      </x:c>
      <x:c r="T64" s="91" t="str">
        <x:v>模拟正常样本</x:v>
      </x:c>
      <x:c r="U64" s="91" t="n">
        <x:f>ABS(L64-N64)</x:f>
        <x:v>3</x:v>
      </x:c>
      <x:c r="V64" s="91" t="str">
        <x:f>IF(L64=K64,"沿用建议","人工调整")</x:f>
        <x:v>沿用建议</x:v>
      </x:c>
      <x:c r="W64" s="92" t="str">
        <x:f>IF(Q64="是","售罄风险",IF(P64&gt;3,"损耗风险","正常"))</x:f>
        <x:v>正常</x:v>
      </x:c>
    </x:row>
    <x:row r="65" ht="20" customHeight="1">
      <x:c r="A65" s="105" t="n">
        <x:v>46193</x:v>
      </x:c>
      <x:c r="B65" s="91" t="str">
        <x:v>模拟店 A（成熟商圈）</x:v>
      </x:c>
      <x:c r="C65" s="91" t="str">
        <x:v>成熟店</x:v>
      </x:c>
      <x:c r="D65" s="91" t="str">
        <x:v>筒骨煨藕汤</x:v>
      </x:c>
      <x:c r="E65" s="91" t="str">
        <x:v>晚市</x:v>
      </x:c>
      <x:c r="F65" s="91" t="str">
        <x:v>周末周六</x:v>
      </x:c>
      <x:c r="G65" s="91" t="str">
        <x:v>常温</x:v>
      </x:c>
      <x:c r="H65" s="91" t="str">
        <x:v>无</x:v>
      </x:c>
      <x:c r="I65" s="108" t="n">
        <x:v>83</x:v>
      </x:c>
      <x:c r="J65" s="108" t="n">
        <x:v>92</x:v>
      </x:c>
      <x:c r="K65" s="108" t="n">
        <x:v>92</x:v>
      </x:c>
      <x:c r="L65" s="108" t="n">
        <x:v>92</x:v>
      </x:c>
      <x:c r="M65" s="108" t="str">
        <x:v>沿用建议</x:v>
      </x:c>
      <x:c r="N65" s="108" t="n">
        <x:v>86</x:v>
      </x:c>
      <x:c r="O65" s="108" t="n">
        <x:v>105</x:v>
      </x:c>
      <x:c r="P65" s="108" t="n">
        <x:v>4</x:v>
      </x:c>
      <x:c r="Q65" s="91" t="str">
        <x:v>否</x:v>
      </x:c>
      <x:c r="R65" s="91" t="n">
        <x:v>0</x:v>
      </x:c>
      <x:c r="S65" s="91" t="str">
        <x:v>无</x:v>
      </x:c>
      <x:c r="T65" s="91" t="str">
        <x:v>模拟正常样本</x:v>
      </x:c>
      <x:c r="U65" s="91" t="n">
        <x:f>ABS(L65-N65)</x:f>
        <x:v>6</x:v>
      </x:c>
      <x:c r="V65" s="91" t="str">
        <x:f>IF(L65=K65,"沿用建议","人工调整")</x:f>
        <x:v>沿用建议</x:v>
      </x:c>
      <x:c r="W65" s="92" t="str">
        <x:f>IF(Q65="是","售罄风险",IF(P65&gt;3,"损耗风险","正常"))</x:f>
        <x:v>损耗风险</x:v>
      </x:c>
    </x:row>
    <x:row r="66" ht="20" customHeight="1">
      <x:c r="A66" s="105" t="n">
        <x:v>46193</x:v>
      </x:c>
      <x:c r="B66" s="91" t="str">
        <x:v>模拟店 A（成熟商圈）</x:v>
      </x:c>
      <x:c r="C66" s="91" t="str">
        <x:v>成熟店</x:v>
      </x:c>
      <x:c r="D66" s="91" t="str">
        <x:v>粉蒸排骨</x:v>
      </x:c>
      <x:c r="E66" s="91" t="str">
        <x:v>晚市</x:v>
      </x:c>
      <x:c r="F66" s="91" t="str">
        <x:v>周末周六</x:v>
      </x:c>
      <x:c r="G66" s="91" t="str">
        <x:v>常温</x:v>
      </x:c>
      <x:c r="H66" s="91" t="str">
        <x:v>无</x:v>
      </x:c>
      <x:c r="I66" s="108" t="n">
        <x:v>45</x:v>
      </x:c>
      <x:c r="J66" s="108" t="n">
        <x:v>49</x:v>
      </x:c>
      <x:c r="K66" s="108" t="n">
        <x:v>49</x:v>
      </x:c>
      <x:c r="L66" s="108" t="n">
        <x:v>49</x:v>
      </x:c>
      <x:c r="M66" s="108" t="str">
        <x:v>沿用建议</x:v>
      </x:c>
      <x:c r="N66" s="108" t="n">
        <x:v>42</x:v>
      </x:c>
      <x:c r="O66" s="108" t="n">
        <x:v>58</x:v>
      </x:c>
      <x:c r="P66" s="108" t="n">
        <x:v>5</x:v>
      </x:c>
      <x:c r="Q66" s="91" t="str">
        <x:v>否</x:v>
      </x:c>
      <x:c r="R66" s="91" t="n">
        <x:v>2</x:v>
      </x:c>
      <x:c r="S66" s="91" t="str">
        <x:v>无</x:v>
      </x:c>
      <x:c r="T66" s="91" t="str">
        <x:v>模拟正常样本</x:v>
      </x:c>
      <x:c r="U66" s="91" t="n">
        <x:f>ABS(L66-N66)</x:f>
        <x:v>7</x:v>
      </x:c>
      <x:c r="V66" s="91" t="str">
        <x:f>IF(L66=K66,"沿用建议","人工调整")</x:f>
        <x:v>沿用建议</x:v>
      </x:c>
      <x:c r="W66" s="92" t="str">
        <x:f>IF(Q66="是","售罄风险",IF(P66&gt;3,"损耗风险","正常"))</x:f>
        <x:v>损耗风险</x:v>
      </x:c>
    </x:row>
    <x:row r="67" ht="20" customHeight="1">
      <x:c r="A67" s="105" t="n">
        <x:v>46193</x:v>
      </x:c>
      <x:c r="B67" s="91" t="str">
        <x:v>模拟店 A（成熟商圈）</x:v>
      </x:c>
      <x:c r="C67" s="91" t="str">
        <x:v>成熟店</x:v>
      </x:c>
      <x:c r="D67" s="91" t="str">
        <x:v>桂花糖藕</x:v>
      </x:c>
      <x:c r="E67" s="91" t="str">
        <x:v>晚市</x:v>
      </x:c>
      <x:c r="F67" s="91" t="str">
        <x:v>周末周六</x:v>
      </x:c>
      <x:c r="G67" s="91" t="str">
        <x:v>常温</x:v>
      </x:c>
      <x:c r="H67" s="91" t="str">
        <x:v>无</x:v>
      </x:c>
      <x:c r="I67" s="108" t="n">
        <x:v>32</x:v>
      </x:c>
      <x:c r="J67" s="108" t="n">
        <x:v>37</x:v>
      </x:c>
      <x:c r="K67" s="108" t="n">
        <x:v>37</x:v>
      </x:c>
      <x:c r="L67" s="108" t="n">
        <x:v>37</x:v>
      </x:c>
      <x:c r="M67" s="108" t="str">
        <x:v>沿用建议</x:v>
      </x:c>
      <x:c r="N67" s="108" t="n">
        <x:v>34</x:v>
      </x:c>
      <x:c r="O67" s="108" t="n">
        <x:v>48</x:v>
      </x:c>
      <x:c r="P67" s="108" t="n">
        <x:v>2</x:v>
      </x:c>
      <x:c r="Q67" s="91" t="str">
        <x:v>否</x:v>
      </x:c>
      <x:c r="R67" s="91" t="n">
        <x:v>2</x:v>
      </x:c>
      <x:c r="S67" s="91" t="str">
        <x:v>无</x:v>
      </x:c>
      <x:c r="T67" s="91" t="str">
        <x:v>模拟正常样本</x:v>
      </x:c>
      <x:c r="U67" s="91" t="n">
        <x:f>ABS(L67-N67)</x:f>
        <x:v>3</x:v>
      </x:c>
      <x:c r="V67" s="91" t="str">
        <x:f>IF(L67=K67,"沿用建议","人工调整")</x:f>
        <x:v>沿用建议</x:v>
      </x:c>
      <x:c r="W67" s="92" t="str">
        <x:f>IF(Q67="是","售罄风险",IF(P67&gt;3,"损耗风险","正常"))</x:f>
        <x:v>正常</x:v>
      </x:c>
    </x:row>
    <x:row r="68" ht="20" customHeight="1">
      <x:c r="A68" s="105" t="n">
        <x:v>46193</x:v>
      </x:c>
      <x:c r="B68" s="91" t="str">
        <x:v>模拟店 A（成熟商圈）</x:v>
      </x:c>
      <x:c r="C68" s="91" t="str">
        <x:v>成熟店</x:v>
      </x:c>
      <x:c r="D68" s="91" t="str">
        <x:v>藕夹</x:v>
      </x:c>
      <x:c r="E68" s="91" t="str">
        <x:v>晚市</x:v>
      </x:c>
      <x:c r="F68" s="91" t="str">
        <x:v>周末周六</x:v>
      </x:c>
      <x:c r="G68" s="91" t="str">
        <x:v>常温</x:v>
      </x:c>
      <x:c r="H68" s="91" t="str">
        <x:v>无</x:v>
      </x:c>
      <x:c r="I68" s="108" t="n">
        <x:v>40</x:v>
      </x:c>
      <x:c r="J68" s="108" t="n">
        <x:v>44</x:v>
      </x:c>
      <x:c r="K68" s="108" t="n">
        <x:v>44</x:v>
      </x:c>
      <x:c r="L68" s="108" t="n">
        <x:v>44</x:v>
      </x:c>
      <x:c r="M68" s="108" t="str">
        <x:v>沿用建议</x:v>
      </x:c>
      <x:c r="N68" s="108" t="n">
        <x:v>43</x:v>
      </x:c>
      <x:c r="O68" s="108" t="n">
        <x:v>54</x:v>
      </x:c>
      <x:c r="P68" s="108" t="n">
        <x:v>0</x:v>
      </x:c>
      <x:c r="Q68" s="91" t="str">
        <x:v>否</x:v>
      </x:c>
      <x:c r="R68" s="91" t="n">
        <x:v>1</x:v>
      </x:c>
      <x:c r="S68" s="91" t="str">
        <x:v>无</x:v>
      </x:c>
      <x:c r="T68" s="91" t="str">
        <x:v>模拟正常样本</x:v>
      </x:c>
      <x:c r="U68" s="91" t="n">
        <x:f>ABS(L68-N68)</x:f>
        <x:v>1</x:v>
      </x:c>
      <x:c r="V68" s="91" t="str">
        <x:f>IF(L68=K68,"沿用建议","人工调整")</x:f>
        <x:v>沿用建议</x:v>
      </x:c>
      <x:c r="W68" s="92" t="str">
        <x:f>IF(Q68="是","售罄风险",IF(P68&gt;3,"损耗风险","正常"))</x:f>
        <x:v>正常</x:v>
      </x:c>
    </x:row>
    <x:row r="69" ht="20" customHeight="1">
      <x:c r="A69" s="105" t="n">
        <x:v>46193</x:v>
      </x:c>
      <x:c r="B69" s="91" t="str">
        <x:v>模拟店 B（新开门店）</x:v>
      </x:c>
      <x:c r="C69" s="91" t="str">
        <x:v>新店</x:v>
      </x:c>
      <x:c r="D69" s="91" t="str">
        <x:v>筒骨煨藕汤</x:v>
      </x:c>
      <x:c r="E69" s="91" t="str">
        <x:v>晚市</x:v>
      </x:c>
      <x:c r="F69" s="91" t="str">
        <x:v>周末周六</x:v>
      </x:c>
      <x:c r="G69" s="91" t="str">
        <x:v>降温</x:v>
      </x:c>
      <x:c r="H69" s="91" t="str">
        <x:v>无</x:v>
      </x:c>
      <x:c r="I69" s="108" t="n">
        <x:v>63</x:v>
      </x:c>
      <x:c r="J69" s="108" t="n">
        <x:v>71</x:v>
      </x:c>
      <x:c r="K69" s="108" t="n">
        <x:v>71</x:v>
      </x:c>
      <x:c r="L69" s="108" t="n">
        <x:v>71</x:v>
      </x:c>
      <x:c r="M69" s="108" t="str">
        <x:v>沿用建议</x:v>
      </x:c>
      <x:c r="N69" s="108" t="n">
        <x:v>68</x:v>
      </x:c>
      <x:c r="O69" s="108" t="n">
        <x:v>82</x:v>
      </x:c>
      <x:c r="P69" s="108" t="n">
        <x:v>1</x:v>
      </x:c>
      <x:c r="Q69" s="91" t="str">
        <x:v>否</x:v>
      </x:c>
      <x:c r="R69" s="91" t="n">
        <x:v>2</x:v>
      </x:c>
      <x:c r="S69" s="91" t="str">
        <x:v>无</x:v>
      </x:c>
      <x:c r="T69" s="91" t="str">
        <x:v>模拟正常样本</x:v>
      </x:c>
      <x:c r="U69" s="91" t="n">
        <x:f>ABS(L69-N69)</x:f>
        <x:v>3</x:v>
      </x:c>
      <x:c r="V69" s="91" t="str">
        <x:f>IF(L69=K69,"沿用建议","人工调整")</x:f>
        <x:v>沿用建议</x:v>
      </x:c>
      <x:c r="W69" s="92" t="str">
        <x:f>IF(Q69="是","售罄风险",IF(P69&gt;3,"损耗风险","正常"))</x:f>
        <x:v>正常</x:v>
      </x:c>
    </x:row>
    <x:row r="70" ht="20" customHeight="1">
      <x:c r="A70" s="105" t="n">
        <x:v>46193</x:v>
      </x:c>
      <x:c r="B70" s="91" t="str">
        <x:v>模拟店 B（新开门店）</x:v>
      </x:c>
      <x:c r="C70" s="91" t="str">
        <x:v>新店</x:v>
      </x:c>
      <x:c r="D70" s="91" t="str">
        <x:v>粉蒸排骨</x:v>
      </x:c>
      <x:c r="E70" s="91" t="str">
        <x:v>晚市</x:v>
      </x:c>
      <x:c r="F70" s="91" t="str">
        <x:v>周末周六</x:v>
      </x:c>
      <x:c r="G70" s="91" t="str">
        <x:v>降温</x:v>
      </x:c>
      <x:c r="H70" s="91" t="str">
        <x:v>无</x:v>
      </x:c>
      <x:c r="I70" s="108" t="n">
        <x:v>34</x:v>
      </x:c>
      <x:c r="J70" s="108" t="n">
        <x:v>38</x:v>
      </x:c>
      <x:c r="K70" s="108" t="n">
        <x:v>38</x:v>
      </x:c>
      <x:c r="L70" s="108" t="n">
        <x:v>38</x:v>
      </x:c>
      <x:c r="M70" s="108" t="str">
        <x:v>沿用建议</x:v>
      </x:c>
      <x:c r="N70" s="108" t="n">
        <x:v>32</x:v>
      </x:c>
      <x:c r="O70" s="108" t="n">
        <x:v>51</x:v>
      </x:c>
      <x:c r="P70" s="108" t="n">
        <x:v>4</x:v>
      </x:c>
      <x:c r="Q70" s="91" t="str">
        <x:v>否</x:v>
      </x:c>
      <x:c r="R70" s="91" t="n">
        <x:v>1</x:v>
      </x:c>
      <x:c r="S70" s="91" t="str">
        <x:v>无</x:v>
      </x:c>
      <x:c r="T70" s="91" t="str">
        <x:v>模拟正常样本</x:v>
      </x:c>
      <x:c r="U70" s="91" t="n">
        <x:f>ABS(L70-N70)</x:f>
        <x:v>6</x:v>
      </x:c>
      <x:c r="V70" s="91" t="str">
        <x:f>IF(L70=K70,"沿用建议","人工调整")</x:f>
        <x:v>沿用建议</x:v>
      </x:c>
      <x:c r="W70" s="92" t="str">
        <x:f>IF(Q70="是","售罄风险",IF(P70&gt;3,"损耗风险","正常"))</x:f>
        <x:v>损耗风险</x:v>
      </x:c>
    </x:row>
    <x:row r="71" ht="20" customHeight="1">
      <x:c r="A71" s="105" t="n">
        <x:v>46193</x:v>
      </x:c>
      <x:c r="B71" s="91" t="str">
        <x:v>模拟店 B（新开门店）</x:v>
      </x:c>
      <x:c r="C71" s="91" t="str">
        <x:v>新店</x:v>
      </x:c>
      <x:c r="D71" s="91" t="str">
        <x:v>桂花糖藕</x:v>
      </x:c>
      <x:c r="E71" s="91" t="str">
        <x:v>晚市</x:v>
      </x:c>
      <x:c r="F71" s="91" t="str">
        <x:v>周末周六</x:v>
      </x:c>
      <x:c r="G71" s="91" t="str">
        <x:v>降温</x:v>
      </x:c>
      <x:c r="H71" s="91" t="str">
        <x:v>无</x:v>
      </x:c>
      <x:c r="I71" s="108" t="n">
        <x:v>24</x:v>
      </x:c>
      <x:c r="J71" s="108" t="n">
        <x:v>28</x:v>
      </x:c>
      <x:c r="K71" s="108" t="n">
        <x:v>28</x:v>
      </x:c>
      <x:c r="L71" s="108" t="n">
        <x:v>28</x:v>
      </x:c>
      <x:c r="M71" s="108" t="str">
        <x:v>沿用建议</x:v>
      </x:c>
      <x:c r="N71" s="108" t="n">
        <x:v>22</x:v>
      </x:c>
      <x:c r="O71" s="108" t="n">
        <x:v>38</x:v>
      </x:c>
      <x:c r="P71" s="108" t="n">
        <x:v>5</x:v>
      </x:c>
      <x:c r="Q71" s="91" t="str">
        <x:v>否</x:v>
      </x:c>
      <x:c r="R71" s="91" t="n">
        <x:v>2</x:v>
      </x:c>
      <x:c r="S71" s="91" t="str">
        <x:v>无</x:v>
      </x:c>
      <x:c r="T71" s="91" t="str">
        <x:v>模拟正常样本</x:v>
      </x:c>
      <x:c r="U71" s="91" t="n">
        <x:f>ABS(L71-N71)</x:f>
        <x:v>6</x:v>
      </x:c>
      <x:c r="V71" s="91" t="str">
        <x:f>IF(L71=K71,"沿用建议","人工调整")</x:f>
        <x:v>沿用建议</x:v>
      </x:c>
      <x:c r="W71" s="92" t="str">
        <x:f>IF(Q71="是","售罄风险",IF(P71&gt;3,"损耗风险","正常"))</x:f>
        <x:v>损耗风险</x:v>
      </x:c>
    </x:row>
    <x:row r="72" ht="20" customHeight="1">
      <x:c r="A72" s="105" t="n">
        <x:v>46193</x:v>
      </x:c>
      <x:c r="B72" s="91" t="str">
        <x:v>模拟店 B（新开门店）</x:v>
      </x:c>
      <x:c r="C72" s="91" t="str">
        <x:v>新店</x:v>
      </x:c>
      <x:c r="D72" s="91" t="str">
        <x:v>藕夹</x:v>
      </x:c>
      <x:c r="E72" s="91" t="str">
        <x:v>晚市</x:v>
      </x:c>
      <x:c r="F72" s="91" t="str">
        <x:v>周末周六</x:v>
      </x:c>
      <x:c r="G72" s="91" t="str">
        <x:v>降温</x:v>
      </x:c>
      <x:c r="H72" s="91" t="str">
        <x:v>无</x:v>
      </x:c>
      <x:c r="I72" s="108" t="n">
        <x:v>30</x:v>
      </x:c>
      <x:c r="J72" s="108" t="n">
        <x:v>34</x:v>
      </x:c>
      <x:c r="K72" s="108" t="n">
        <x:v>34</x:v>
      </x:c>
      <x:c r="L72" s="108" t="n">
        <x:v>34</x:v>
      </x:c>
      <x:c r="M72" s="108" t="str">
        <x:v>沿用建议</x:v>
      </x:c>
      <x:c r="N72" s="108" t="n">
        <x:v>30</x:v>
      </x:c>
      <x:c r="O72" s="108" t="n">
        <x:v>42</x:v>
      </x:c>
      <x:c r="P72" s="108" t="n">
        <x:v>2</x:v>
      </x:c>
      <x:c r="Q72" s="91" t="str">
        <x:v>否</x:v>
      </x:c>
      <x:c r="R72" s="91" t="n">
        <x:v>2</x:v>
      </x:c>
      <x:c r="S72" s="91" t="str">
        <x:v>无</x:v>
      </x:c>
      <x:c r="T72" s="91" t="str">
        <x:v>模拟正常样本</x:v>
      </x:c>
      <x:c r="U72" s="91" t="n">
        <x:f>ABS(L72-N72)</x:f>
        <x:v>4</x:v>
      </x:c>
      <x:c r="V72" s="91" t="str">
        <x:f>IF(L72=K72,"沿用建议","人工调整")</x:f>
        <x:v>沿用建议</x:v>
      </x:c>
      <x:c r="W72" s="92" t="str">
        <x:f>IF(Q72="是","售罄风险",IF(P72&gt;3,"损耗风险","正常"))</x:f>
        <x:v>正常</x:v>
      </x:c>
    </x:row>
    <x:row r="73" ht="20" customHeight="1">
      <x:c r="A73" s="105" t="n">
        <x:v>46193</x:v>
      </x:c>
      <x:c r="B73" s="91" t="str">
        <x:v>模拟店 C（社区门店）</x:v>
      </x:c>
      <x:c r="C73" s="91" t="str">
        <x:v>成长期</x:v>
      </x:c>
      <x:c r="D73" s="91" t="str">
        <x:v>筒骨煨藕汤</x:v>
      </x:c>
      <x:c r="E73" s="91" t="str">
        <x:v>晚市</x:v>
      </x:c>
      <x:c r="F73" s="91" t="str">
        <x:v>周末周六</x:v>
      </x:c>
      <x:c r="G73" s="91" t="str">
        <x:v>常温</x:v>
      </x:c>
      <x:c r="H73" s="91" t="str">
        <x:v>无</x:v>
      </x:c>
      <x:c r="I73" s="108" t="n">
        <x:v>69</x:v>
      </x:c>
      <x:c r="J73" s="108" t="n">
        <x:v>77</x:v>
      </x:c>
      <x:c r="K73" s="108" t="n">
        <x:v>77</x:v>
      </x:c>
      <x:c r="L73" s="108" t="n">
        <x:v>80</x:v>
      </x:c>
      <x:c r="M73" s="108" t="str">
        <x:v>当班经验判断</x:v>
      </x:c>
      <x:c r="N73" s="108" t="n">
        <x:v>73</x:v>
      </x:c>
      <x:c r="O73" s="108" t="n">
        <x:v>91</x:v>
      </x:c>
      <x:c r="P73" s="108" t="n">
        <x:v>5</x:v>
      </x:c>
      <x:c r="Q73" s="91" t="str">
        <x:v>否</x:v>
      </x:c>
      <x:c r="R73" s="91" t="n">
        <x:v>0</x:v>
      </x:c>
      <x:c r="S73" s="91" t="str">
        <x:v>无</x:v>
      </x:c>
      <x:c r="T73" s="91" t="str">
        <x:v>模拟正常样本</x:v>
      </x:c>
      <x:c r="U73" s="91" t="n">
        <x:f>ABS(L73-N73)</x:f>
        <x:v>7</x:v>
      </x:c>
      <x:c r="V73" s="91" t="str">
        <x:f>IF(L73=K73,"沿用建议","人工调整")</x:f>
        <x:v>人工调整</x:v>
      </x:c>
      <x:c r="W73" s="92" t="str">
        <x:f>IF(Q73="是","售罄风险",IF(P73&gt;3,"损耗风险","正常"))</x:f>
        <x:v>损耗风险</x:v>
      </x:c>
    </x:row>
    <x:row r="74" ht="20" customHeight="1">
      <x:c r="A74" s="105" t="n">
        <x:v>46193</x:v>
      </x:c>
      <x:c r="B74" s="91" t="str">
        <x:v>模拟店 C（社区门店）</x:v>
      </x:c>
      <x:c r="C74" s="91" t="str">
        <x:v>成长期</x:v>
      </x:c>
      <x:c r="D74" s="91" t="str">
        <x:v>粉蒸排骨</x:v>
      </x:c>
      <x:c r="E74" s="91" t="str">
        <x:v>晚市</x:v>
      </x:c>
      <x:c r="F74" s="91" t="str">
        <x:v>周末周六</x:v>
      </x:c>
      <x:c r="G74" s="91" t="str">
        <x:v>常温</x:v>
      </x:c>
      <x:c r="H74" s="91" t="str">
        <x:v>无</x:v>
      </x:c>
      <x:c r="I74" s="108" t="n">
        <x:v>39</x:v>
      </x:c>
      <x:c r="J74" s="108" t="n">
        <x:v>43</x:v>
      </x:c>
      <x:c r="K74" s="108" t="n">
        <x:v>43</x:v>
      </x:c>
      <x:c r="L74" s="108" t="n">
        <x:v>43</x:v>
      </x:c>
      <x:c r="M74" s="108" t="str">
        <x:v>沿用建议</x:v>
      </x:c>
      <x:c r="N74" s="108" t="n">
        <x:v>38</x:v>
      </x:c>
      <x:c r="O74" s="108" t="n">
        <x:v>54</x:v>
      </x:c>
      <x:c r="P74" s="108" t="n">
        <x:v>3</x:v>
      </x:c>
      <x:c r="Q74" s="91" t="str">
        <x:v>否</x:v>
      </x:c>
      <x:c r="R74" s="91" t="n">
        <x:v>1</x:v>
      </x:c>
      <x:c r="S74" s="91" t="str">
        <x:v>无</x:v>
      </x:c>
      <x:c r="T74" s="91" t="str">
        <x:v>模拟正常样本</x:v>
      </x:c>
      <x:c r="U74" s="91" t="n">
        <x:f>ABS(L74-N74)</x:f>
        <x:v>5</x:v>
      </x:c>
      <x:c r="V74" s="91" t="str">
        <x:f>IF(L74=K74,"沿用建议","人工调整")</x:f>
        <x:v>沿用建议</x:v>
      </x:c>
      <x:c r="W74" s="92" t="str">
        <x:f>IF(Q74="是","售罄风险",IF(P74&gt;3,"损耗风险","正常"))</x:f>
        <x:v>正常</x:v>
      </x:c>
    </x:row>
    <x:row r="75" ht="20" customHeight="1">
      <x:c r="A75" s="105" t="n">
        <x:v>46193</x:v>
      </x:c>
      <x:c r="B75" s="91" t="str">
        <x:v>模拟店 C（社区门店）</x:v>
      </x:c>
      <x:c r="C75" s="91" t="str">
        <x:v>成长期</x:v>
      </x:c>
      <x:c r="D75" s="91" t="str">
        <x:v>桂花糖藕</x:v>
      </x:c>
      <x:c r="E75" s="91" t="str">
        <x:v>晚市</x:v>
      </x:c>
      <x:c r="F75" s="91" t="str">
        <x:v>周末周六</x:v>
      </x:c>
      <x:c r="G75" s="91" t="str">
        <x:v>常温</x:v>
      </x:c>
      <x:c r="H75" s="91" t="str">
        <x:v>无</x:v>
      </x:c>
      <x:c r="I75" s="108" t="n">
        <x:v>28</x:v>
      </x:c>
      <x:c r="J75" s="108" t="n">
        <x:v>32</x:v>
      </x:c>
      <x:c r="K75" s="108" t="n">
        <x:v>32</x:v>
      </x:c>
      <x:c r="L75" s="108" t="n">
        <x:v>32</x:v>
      </x:c>
      <x:c r="M75" s="108" t="str">
        <x:v>沿用建议</x:v>
      </x:c>
      <x:c r="N75" s="108" t="n">
        <x:v>26</x:v>
      </x:c>
      <x:c r="O75" s="108" t="n">
        <x:v>43</x:v>
      </x:c>
      <x:c r="P75" s="108" t="n">
        <x:v>5</x:v>
      </x:c>
      <x:c r="Q75" s="91" t="str">
        <x:v>否</x:v>
      </x:c>
      <x:c r="R75" s="91" t="n">
        <x:v>2</x:v>
      </x:c>
      <x:c r="S75" s="91" t="str">
        <x:v>无</x:v>
      </x:c>
      <x:c r="T75" s="91" t="str">
        <x:v>模拟正常样本</x:v>
      </x:c>
      <x:c r="U75" s="91" t="n">
        <x:f>ABS(L75-N75)</x:f>
        <x:v>6</x:v>
      </x:c>
      <x:c r="V75" s="91" t="str">
        <x:f>IF(L75=K75,"沿用建议","人工调整")</x:f>
        <x:v>沿用建议</x:v>
      </x:c>
      <x:c r="W75" s="92" t="str">
        <x:f>IF(Q75="是","售罄风险",IF(P75&gt;3,"损耗风险","正常"))</x:f>
        <x:v>损耗风险</x:v>
      </x:c>
    </x:row>
    <x:row r="76" ht="20" customHeight="1">
      <x:c r="A76" s="105" t="n">
        <x:v>46193</x:v>
      </x:c>
      <x:c r="B76" s="91" t="str">
        <x:v>模拟店 C（社区门店）</x:v>
      </x:c>
      <x:c r="C76" s="91" t="str">
        <x:v>成长期</x:v>
      </x:c>
      <x:c r="D76" s="91" t="str">
        <x:v>藕夹</x:v>
      </x:c>
      <x:c r="E76" s="91" t="str">
        <x:v>晚市</x:v>
      </x:c>
      <x:c r="F76" s="91" t="str">
        <x:v>周末周六</x:v>
      </x:c>
      <x:c r="G76" s="91" t="str">
        <x:v>常温</x:v>
      </x:c>
      <x:c r="H76" s="91" t="str">
        <x:v>无</x:v>
      </x:c>
      <x:c r="I76" s="108" t="n">
        <x:v>33</x:v>
      </x:c>
      <x:c r="J76" s="108" t="n">
        <x:v>37</x:v>
      </x:c>
      <x:c r="K76" s="108" t="n">
        <x:v>37</x:v>
      </x:c>
      <x:c r="L76" s="108" t="n">
        <x:v>37</x:v>
      </x:c>
      <x:c r="M76" s="108" t="str">
        <x:v>沿用建议</x:v>
      </x:c>
      <x:c r="N76" s="108" t="n">
        <x:v>35</x:v>
      </x:c>
      <x:c r="O76" s="108" t="n">
        <x:v>47</x:v>
      </x:c>
      <x:c r="P76" s="108" t="n">
        <x:v>0</x:v>
      </x:c>
      <x:c r="Q76" s="91" t="str">
        <x:v>否</x:v>
      </x:c>
      <x:c r="R76" s="91" t="n">
        <x:v>2</x:v>
      </x:c>
      <x:c r="S76" s="91" t="str">
        <x:v>无</x:v>
      </x:c>
      <x:c r="T76" s="91" t="str">
        <x:v>模拟正常样本</x:v>
      </x:c>
      <x:c r="U76" s="91" t="n">
        <x:f>ABS(L76-N76)</x:f>
        <x:v>2</x:v>
      </x:c>
      <x:c r="V76" s="91" t="str">
        <x:f>IF(L76=K76,"沿用建议","人工调整")</x:f>
        <x:v>沿用建议</x:v>
      </x:c>
      <x:c r="W76" s="92" t="str">
        <x:f>IF(Q76="是","售罄风险",IF(P76&gt;3,"损耗风险","正常"))</x:f>
        <x:v>正常</x:v>
      </x:c>
    </x:row>
    <x:row r="77" ht="20" customHeight="1">
      <x:c r="A77" s="105" t="n">
        <x:v>46194</x:v>
      </x:c>
      <x:c r="B77" s="91" t="str">
        <x:v>模拟店 A（成熟商圈）</x:v>
      </x:c>
      <x:c r="C77" s="91" t="str">
        <x:v>成熟店</x:v>
      </x:c>
      <x:c r="D77" s="91" t="str">
        <x:v>筒骨煨藕汤</x:v>
      </x:c>
      <x:c r="E77" s="91" t="str">
        <x:v>晚市</x:v>
      </x:c>
      <x:c r="F77" s="91" t="str">
        <x:v>周末周日</x:v>
      </x:c>
      <x:c r="G77" s="91" t="str">
        <x:v>降温</x:v>
      </x:c>
      <x:c r="H77" s="91" t="str">
        <x:v>无</x:v>
      </x:c>
      <x:c r="I77" s="108" t="n">
        <x:v>91</x:v>
      </x:c>
      <x:c r="J77" s="108" t="n">
        <x:v>101</x:v>
      </x:c>
      <x:c r="K77" s="108" t="n">
        <x:v>101</x:v>
      </x:c>
      <x:c r="L77" s="108" t="n">
        <x:v>101</x:v>
      </x:c>
      <x:c r="M77" s="108" t="str">
        <x:v>沿用建议</x:v>
      </x:c>
      <x:c r="N77" s="108" t="n">
        <x:v>98</x:v>
      </x:c>
      <x:c r="O77" s="108" t="n">
        <x:v>109</x:v>
      </x:c>
      <x:c r="P77" s="108" t="n">
        <x:v>1</x:v>
      </x:c>
      <x:c r="Q77" s="91" t="str">
        <x:v>否</x:v>
      </x:c>
      <x:c r="R77" s="91" t="n">
        <x:v>3</x:v>
      </x:c>
      <x:c r="S77" s="91" t="str">
        <x:v>无</x:v>
      </x:c>
      <x:c r="T77" s="91" t="str">
        <x:v>模拟正常样本</x:v>
      </x:c>
      <x:c r="U77" s="91" t="n">
        <x:f>ABS(L77-N77)</x:f>
        <x:v>3</x:v>
      </x:c>
      <x:c r="V77" s="91" t="str">
        <x:f>IF(L77=K77,"沿用建议","人工调整")</x:f>
        <x:v>沿用建议</x:v>
      </x:c>
      <x:c r="W77" s="92" t="str">
        <x:f>IF(Q77="是","售罄风险",IF(P77&gt;3,"损耗风险","正常"))</x:f>
        <x:v>正常</x:v>
      </x:c>
    </x:row>
    <x:row r="78" ht="20" customHeight="1">
      <x:c r="A78" s="105" t="n">
        <x:v>46194</x:v>
      </x:c>
      <x:c r="B78" s="91" t="str">
        <x:v>模拟店 A（成熟商圈）</x:v>
      </x:c>
      <x:c r="C78" s="91" t="str">
        <x:v>成熟店</x:v>
      </x:c>
      <x:c r="D78" s="91" t="str">
        <x:v>粉蒸排骨</x:v>
      </x:c>
      <x:c r="E78" s="91" t="str">
        <x:v>晚市</x:v>
      </x:c>
      <x:c r="F78" s="91" t="str">
        <x:v>周末周日</x:v>
      </x:c>
      <x:c r="G78" s="91" t="str">
        <x:v>降温</x:v>
      </x:c>
      <x:c r="H78" s="91" t="str">
        <x:v>无</x:v>
      </x:c>
      <x:c r="I78" s="108" t="n">
        <x:v>48</x:v>
      </x:c>
      <x:c r="J78" s="108" t="n">
        <x:v>52</x:v>
      </x:c>
      <x:c r="K78" s="108" t="n">
        <x:v>52</x:v>
      </x:c>
      <x:c r="L78" s="108" t="n">
        <x:v>55</x:v>
      </x:c>
      <x:c r="M78" s="108" t="str">
        <x:v>商圈活动临时变化</x:v>
      </x:c>
      <x:c r="N78" s="108" t="n">
        <x:v>47</x:v>
      </x:c>
      <x:c r="O78" s="108" t="n">
        <x:v>64</x:v>
      </x:c>
      <x:c r="P78" s="108" t="n">
        <x:v>6</x:v>
      </x:c>
      <x:c r="Q78" s="91" t="str">
        <x:v>否</x:v>
      </x:c>
      <x:c r="R78" s="91" t="n">
        <x:v>2</x:v>
      </x:c>
      <x:c r="S78" s="91" t="str">
        <x:v>无</x:v>
      </x:c>
      <x:c r="T78" s="91" t="str">
        <x:v>模拟正常样本</x:v>
      </x:c>
      <x:c r="U78" s="91" t="n">
        <x:f>ABS(L78-N78)</x:f>
        <x:v>8</x:v>
      </x:c>
      <x:c r="V78" s="91" t="str">
        <x:f>IF(L78=K78,"沿用建议","人工调整")</x:f>
        <x:v>人工调整</x:v>
      </x:c>
      <x:c r="W78" s="92" t="str">
        <x:f>IF(Q78="是","售罄风险",IF(P78&gt;3,"损耗风险","正常"))</x:f>
        <x:v>损耗风险</x:v>
      </x:c>
    </x:row>
    <x:row r="79" ht="20" customHeight="1">
      <x:c r="A79" s="105" t="n">
        <x:v>46194</x:v>
      </x:c>
      <x:c r="B79" s="91" t="str">
        <x:v>模拟店 A（成熟商圈）</x:v>
      </x:c>
      <x:c r="C79" s="91" t="str">
        <x:v>成熟店</x:v>
      </x:c>
      <x:c r="D79" s="91" t="str">
        <x:v>桂花糖藕</x:v>
      </x:c>
      <x:c r="E79" s="91" t="str">
        <x:v>晚市</x:v>
      </x:c>
      <x:c r="F79" s="91" t="str">
        <x:v>周末周日</x:v>
      </x:c>
      <x:c r="G79" s="91" t="str">
        <x:v>降温</x:v>
      </x:c>
      <x:c r="H79" s="91" t="str">
        <x:v>无</x:v>
      </x:c>
      <x:c r="I79" s="108" t="n">
        <x:v>34</x:v>
      </x:c>
      <x:c r="J79" s="108" t="n">
        <x:v>39</x:v>
      </x:c>
      <x:c r="K79" s="108" t="n">
        <x:v>39</x:v>
      </x:c>
      <x:c r="L79" s="108" t="n">
        <x:v>39</x:v>
      </x:c>
      <x:c r="M79" s="108" t="str">
        <x:v>沿用建议</x:v>
      </x:c>
      <x:c r="N79" s="108" t="n">
        <x:v>31</x:v>
      </x:c>
      <x:c r="O79" s="108" t="n">
        <x:v>52</x:v>
      </x:c>
      <x:c r="P79" s="108" t="n">
        <x:v>7</x:v>
      </x:c>
      <x:c r="Q79" s="91" t="str">
        <x:v>否</x:v>
      </x:c>
      <x:c r="R79" s="91" t="n">
        <x:v>3</x:v>
      </x:c>
      <x:c r="S79" s="91" t="str">
        <x:v>无</x:v>
      </x:c>
      <x:c r="T79" s="91" t="str">
        <x:v>模拟正常样本</x:v>
      </x:c>
      <x:c r="U79" s="91" t="n">
        <x:f>ABS(L79-N79)</x:f>
        <x:v>8</x:v>
      </x:c>
      <x:c r="V79" s="91" t="str">
        <x:f>IF(L79=K79,"沿用建议","人工调整")</x:f>
        <x:v>沿用建议</x:v>
      </x:c>
      <x:c r="W79" s="92" t="str">
        <x:f>IF(Q79="是","售罄风险",IF(P79&gt;3,"损耗风险","正常"))</x:f>
        <x:v>损耗风险</x:v>
      </x:c>
    </x:row>
    <x:row r="80" ht="20" customHeight="1">
      <x:c r="A80" s="105" t="n">
        <x:v>46194</x:v>
      </x:c>
      <x:c r="B80" s="91" t="str">
        <x:v>模拟店 A（成熟商圈）</x:v>
      </x:c>
      <x:c r="C80" s="91" t="str">
        <x:v>成熟店</x:v>
      </x:c>
      <x:c r="D80" s="91" t="str">
        <x:v>藕夹</x:v>
      </x:c>
      <x:c r="E80" s="91" t="str">
        <x:v>晚市</x:v>
      </x:c>
      <x:c r="F80" s="91" t="str">
        <x:v>周末周日</x:v>
      </x:c>
      <x:c r="G80" s="91" t="str">
        <x:v>降温</x:v>
      </x:c>
      <x:c r="H80" s="91" t="str">
        <x:v>无</x:v>
      </x:c>
      <x:c r="I80" s="108" t="n">
        <x:v>37</x:v>
      </x:c>
      <x:c r="J80" s="108" t="n">
        <x:v>41</x:v>
      </x:c>
      <x:c r="K80" s="108" t="n">
        <x:v>41</x:v>
      </x:c>
      <x:c r="L80" s="108" t="n">
        <x:v>41</x:v>
      </x:c>
      <x:c r="M80" s="108" t="str">
        <x:v>沿用建议</x:v>
      </x:c>
      <x:c r="N80" s="108" t="n">
        <x:v>41</x:v>
      </x:c>
      <x:c r="O80" s="108" t="n">
        <x:v>52</x:v>
      </x:c>
      <x:c r="P80" s="108" t="n">
        <x:v>0</x:v>
      </x:c>
      <x:c r="Q80" s="91" t="str">
        <x:v>否</x:v>
      </x:c>
      <x:c r="R80" s="91" t="n">
        <x:v>2</x:v>
      </x:c>
      <x:c r="S80" s="91" t="str">
        <x:v>无</x:v>
      </x:c>
      <x:c r="T80" s="91" t="str">
        <x:v>模拟正常样本</x:v>
      </x:c>
      <x:c r="U80" s="91" t="n">
        <x:f>ABS(L80-N80)</x:f>
        <x:v>0</x:v>
      </x:c>
      <x:c r="V80" s="91" t="str">
        <x:f>IF(L80=K80,"沿用建议","人工调整")</x:f>
        <x:v>沿用建议</x:v>
      </x:c>
      <x:c r="W80" s="92" t="str">
        <x:f>IF(Q80="是","售罄风险",IF(P80&gt;3,"损耗风险","正常"))</x:f>
        <x:v>正常</x:v>
      </x:c>
    </x:row>
    <x:row r="81" ht="20" customHeight="1">
      <x:c r="A81" s="105" t="n">
        <x:v>46194</x:v>
      </x:c>
      <x:c r="B81" s="91" t="str">
        <x:v>模拟店 B（新开门店）</x:v>
      </x:c>
      <x:c r="C81" s="91" t="str">
        <x:v>新店</x:v>
      </x:c>
      <x:c r="D81" s="91" t="str">
        <x:v>筒骨煨藕汤</x:v>
      </x:c>
      <x:c r="E81" s="91" t="str">
        <x:v>晚市</x:v>
      </x:c>
      <x:c r="F81" s="91" t="str">
        <x:v>周末周日</x:v>
      </x:c>
      <x:c r="G81" s="91" t="str">
        <x:v>常温</x:v>
      </x:c>
      <x:c r="H81" s="91" t="str">
        <x:v>无</x:v>
      </x:c>
      <x:c r="I81" s="108" t="n">
        <x:v>59</x:v>
      </x:c>
      <x:c r="J81" s="108" t="n">
        <x:v>66</x:v>
      </x:c>
      <x:c r="K81" s="108" t="n">
        <x:v>66</x:v>
      </x:c>
      <x:c r="L81" s="108" t="n">
        <x:v>66</x:v>
      </x:c>
      <x:c r="M81" s="108" t="str">
        <x:v>沿用建议</x:v>
      </x:c>
      <x:c r="N81" s="108" t="n">
        <x:v>60</x:v>
      </x:c>
      <x:c r="O81" s="108" t="n">
        <x:v>74</x:v>
      </x:c>
      <x:c r="P81" s="108" t="n">
        <x:v>4</x:v>
      </x:c>
      <x:c r="Q81" s="91" t="str">
        <x:v>否</x:v>
      </x:c>
      <x:c r="R81" s="91" t="n">
        <x:v>3</x:v>
      </x:c>
      <x:c r="S81" s="91" t="str">
        <x:v>无</x:v>
      </x:c>
      <x:c r="T81" s="91" t="str">
        <x:v>模拟正常样本</x:v>
      </x:c>
      <x:c r="U81" s="91" t="n">
        <x:f>ABS(L81-N81)</x:f>
        <x:v>6</x:v>
      </x:c>
      <x:c r="V81" s="91" t="str">
        <x:f>IF(L81=K81,"沿用建议","人工调整")</x:f>
        <x:v>沿用建议</x:v>
      </x:c>
      <x:c r="W81" s="92" t="str">
        <x:f>IF(Q81="是","售罄风险",IF(P81&gt;3,"损耗风险","正常"))</x:f>
        <x:v>损耗风险</x:v>
      </x:c>
    </x:row>
    <x:row r="82" ht="20" customHeight="1">
      <x:c r="A82" s="105" t="n">
        <x:v>46194</x:v>
      </x:c>
      <x:c r="B82" s="91" t="str">
        <x:v>模拟店 B（新开门店）</x:v>
      </x:c>
      <x:c r="C82" s="91" t="str">
        <x:v>新店</x:v>
      </x:c>
      <x:c r="D82" s="91" t="str">
        <x:v>粉蒸排骨</x:v>
      </x:c>
      <x:c r="E82" s="91" t="str">
        <x:v>晚市</x:v>
      </x:c>
      <x:c r="F82" s="91" t="str">
        <x:v>周末周日</x:v>
      </x:c>
      <x:c r="G82" s="91" t="str">
        <x:v>常温</x:v>
      </x:c>
      <x:c r="H82" s="91" t="str">
        <x:v>无</x:v>
      </x:c>
      <x:c r="I82" s="108" t="n">
        <x:v>36</x:v>
      </x:c>
      <x:c r="J82" s="108" t="n">
        <x:v>40</x:v>
      </x:c>
      <x:c r="K82" s="108" t="n">
        <x:v>40</x:v>
      </x:c>
      <x:c r="L82" s="108" t="n">
        <x:v>40</x:v>
      </x:c>
      <x:c r="M82" s="108" t="str">
        <x:v>沿用建议</x:v>
      </x:c>
      <x:c r="N82" s="108" t="n">
        <x:v>37</x:v>
      </x:c>
      <x:c r="O82" s="108" t="n">
        <x:v>48</x:v>
      </x:c>
      <x:c r="P82" s="108" t="n">
        <x:v>1</x:v>
      </x:c>
      <x:c r="Q82" s="91" t="str">
        <x:v>否</x:v>
      </x:c>
      <x:c r="R82" s="91" t="n">
        <x:v>3</x:v>
      </x:c>
      <x:c r="S82" s="91" t="str">
        <x:v>无</x:v>
      </x:c>
      <x:c r="T82" s="91" t="str">
        <x:v>模拟正常样本</x:v>
      </x:c>
      <x:c r="U82" s="91" t="n">
        <x:f>ABS(L82-N82)</x:f>
        <x:v>3</x:v>
      </x:c>
      <x:c r="V82" s="91" t="str">
        <x:f>IF(L82=K82,"沿用建议","人工调整")</x:f>
        <x:v>沿用建议</x:v>
      </x:c>
      <x:c r="W82" s="92" t="str">
        <x:f>IF(Q82="是","售罄风险",IF(P82&gt;3,"损耗风险","正常"))</x:f>
        <x:v>正常</x:v>
      </x:c>
    </x:row>
    <x:row r="83" ht="20" customHeight="1">
      <x:c r="A83" s="105" t="n">
        <x:v>46194</x:v>
      </x:c>
      <x:c r="B83" s="91" t="str">
        <x:v>模拟店 B（新开门店）</x:v>
      </x:c>
      <x:c r="C83" s="91" t="str">
        <x:v>新店</x:v>
      </x:c>
      <x:c r="D83" s="91" t="str">
        <x:v>桂花糖藕</x:v>
      </x:c>
      <x:c r="E83" s="91" t="str">
        <x:v>晚市</x:v>
      </x:c>
      <x:c r="F83" s="91" t="str">
        <x:v>周末周日</x:v>
      </x:c>
      <x:c r="G83" s="91" t="str">
        <x:v>常温</x:v>
      </x:c>
      <x:c r="H83" s="91" t="str">
        <x:v>无</x:v>
      </x:c>
      <x:c r="I83" s="108" t="n">
        <x:v>23</x:v>
      </x:c>
      <x:c r="J83" s="108" t="n">
        <x:v>27</x:v>
      </x:c>
      <x:c r="K83" s="108" t="n">
        <x:v>27</x:v>
      </x:c>
      <x:c r="L83" s="108" t="n">
        <x:v>27</x:v>
      </x:c>
      <x:c r="M83" s="108" t="str">
        <x:v>沿用建议</x:v>
      </x:c>
      <x:c r="N83" s="108" t="n">
        <x:v>24</x:v>
      </x:c>
      <x:c r="O83" s="108" t="n">
        <x:v>37</x:v>
      </x:c>
      <x:c r="P83" s="108" t="n">
        <x:v>2</x:v>
      </x:c>
      <x:c r="Q83" s="91" t="str">
        <x:v>否</x:v>
      </x:c>
      <x:c r="R83" s="91" t="n">
        <x:v>0</x:v>
      </x:c>
      <x:c r="S83" s="91" t="str">
        <x:v>无</x:v>
      </x:c>
      <x:c r="T83" s="91" t="str">
        <x:v>模拟正常样本</x:v>
      </x:c>
      <x:c r="U83" s="91" t="n">
        <x:f>ABS(L83-N83)</x:f>
        <x:v>3</x:v>
      </x:c>
      <x:c r="V83" s="91" t="str">
        <x:f>IF(L83=K83,"沿用建议","人工调整")</x:f>
        <x:v>沿用建议</x:v>
      </x:c>
      <x:c r="W83" s="92" t="str">
        <x:f>IF(Q83="是","售罄风险",IF(P83&gt;3,"损耗风险","正常"))</x:f>
        <x:v>正常</x:v>
      </x:c>
    </x:row>
    <x:row r="84" ht="20" customHeight="1">
      <x:c r="A84" s="105" t="n">
        <x:v>46194</x:v>
      </x:c>
      <x:c r="B84" s="91" t="str">
        <x:v>模拟店 B（新开门店）</x:v>
      </x:c>
      <x:c r="C84" s="91" t="str">
        <x:v>新店</x:v>
      </x:c>
      <x:c r="D84" s="91" t="str">
        <x:v>藕夹</x:v>
      </x:c>
      <x:c r="E84" s="91" t="str">
        <x:v>晚市</x:v>
      </x:c>
      <x:c r="F84" s="91" t="str">
        <x:v>周末周日</x:v>
      </x:c>
      <x:c r="G84" s="91" t="str">
        <x:v>常温</x:v>
      </x:c>
      <x:c r="H84" s="91" t="str">
        <x:v>无</x:v>
      </x:c>
      <x:c r="I84" s="108" t="n">
        <x:v>30</x:v>
      </x:c>
      <x:c r="J84" s="108" t="n">
        <x:v>34</x:v>
      </x:c>
      <x:c r="K84" s="108" t="n">
        <x:v>34</x:v>
      </x:c>
      <x:c r="L84" s="108" t="n">
        <x:v>34</x:v>
      </x:c>
      <x:c r="M84" s="108" t="str">
        <x:v>沿用建议</x:v>
      </x:c>
      <x:c r="N84" s="108" t="n">
        <x:v>29</x:v>
      </x:c>
      <x:c r="O84" s="108" t="n">
        <x:v>47</x:v>
      </x:c>
      <x:c r="P84" s="108" t="n">
        <x:v>3</x:v>
      </x:c>
      <x:c r="Q84" s="91" t="str">
        <x:v>否</x:v>
      </x:c>
      <x:c r="R84" s="91" t="n">
        <x:v>2</x:v>
      </x:c>
      <x:c r="S84" s="91" t="str">
        <x:v>无</x:v>
      </x:c>
      <x:c r="T84" s="91" t="str">
        <x:v>模拟正常样本</x:v>
      </x:c>
      <x:c r="U84" s="91" t="n">
        <x:f>ABS(L84-N84)</x:f>
        <x:v>5</x:v>
      </x:c>
      <x:c r="V84" s="91" t="str">
        <x:f>IF(L84=K84,"沿用建议","人工调整")</x:f>
        <x:v>沿用建议</x:v>
      </x:c>
      <x:c r="W84" s="92" t="str">
        <x:f>IF(Q84="是","售罄风险",IF(P84&gt;3,"损耗风险","正常"))</x:f>
        <x:v>正常</x:v>
      </x:c>
    </x:row>
    <x:row r="85" ht="20" customHeight="1">
      <x:c r="A85" s="105" t="n">
        <x:v>46194</x:v>
      </x:c>
      <x:c r="B85" s="91" t="str">
        <x:v>模拟店 C（社区门店）</x:v>
      </x:c>
      <x:c r="C85" s="91" t="str">
        <x:v>成长期</x:v>
      </x:c>
      <x:c r="D85" s="91" t="str">
        <x:v>筒骨煨藕汤</x:v>
      </x:c>
      <x:c r="E85" s="91" t="str">
        <x:v>晚市</x:v>
      </x:c>
      <x:c r="F85" s="91" t="str">
        <x:v>周末周日</x:v>
      </x:c>
      <x:c r="G85" s="91" t="str">
        <x:v>降温</x:v>
      </x:c>
      <x:c r="H85" s="91" t="str">
        <x:v>无</x:v>
      </x:c>
      <x:c r="I85" s="108" t="n">
        <x:v>71</x:v>
      </x:c>
      <x:c r="J85" s="108" t="n">
        <x:v>79</x:v>
      </x:c>
      <x:c r="K85" s="108" t="n">
        <x:v>79</x:v>
      </x:c>
      <x:c r="L85" s="108" t="n">
        <x:v>79</x:v>
      </x:c>
      <x:c r="M85" s="108" t="str">
        <x:v>沿用建议</x:v>
      </x:c>
      <x:c r="N85" s="108" t="n">
        <x:v>66</x:v>
      </x:c>
      <x:c r="O85" s="108" t="n">
        <x:v>92</x:v>
      </x:c>
      <x:c r="P85" s="108" t="n">
        <x:v>11</x:v>
      </x:c>
      <x:c r="Q85" s="91" t="str">
        <x:v>否</x:v>
      </x:c>
      <x:c r="R85" s="91" t="n">
        <x:v>1</x:v>
      </x:c>
      <x:c r="S85" s="91" t="str">
        <x:v>无</x:v>
      </x:c>
      <x:c r="T85" s="91" t="str">
        <x:v>模拟正常样本</x:v>
      </x:c>
      <x:c r="U85" s="91" t="n">
        <x:f>ABS(L85-N85)</x:f>
        <x:v>13</x:v>
      </x:c>
      <x:c r="V85" s="91" t="str">
        <x:f>IF(L85=K85,"沿用建议","人工调整")</x:f>
        <x:v>沿用建议</x:v>
      </x:c>
      <x:c r="W85" s="92" t="str">
        <x:f>IF(Q85="是","售罄风险",IF(P85&gt;3,"损耗风险","正常"))</x:f>
        <x:v>损耗风险</x:v>
      </x:c>
    </x:row>
    <x:row r="86" ht="20" customHeight="1">
      <x:c r="A86" s="105" t="n">
        <x:v>46194</x:v>
      </x:c>
      <x:c r="B86" s="91" t="str">
        <x:v>模拟店 C（社区门店）</x:v>
      </x:c>
      <x:c r="C86" s="91" t="str">
        <x:v>成长期</x:v>
      </x:c>
      <x:c r="D86" s="91" t="str">
        <x:v>粉蒸排骨</x:v>
      </x:c>
      <x:c r="E86" s="91" t="str">
        <x:v>晚市</x:v>
      </x:c>
      <x:c r="F86" s="91" t="str">
        <x:v>周末周日</x:v>
      </x:c>
      <x:c r="G86" s="91" t="str">
        <x:v>降温</x:v>
      </x:c>
      <x:c r="H86" s="91" t="str">
        <x:v>无</x:v>
      </x:c>
      <x:c r="I86" s="108" t="n">
        <x:v>41</x:v>
      </x:c>
      <x:c r="J86" s="108" t="n">
        <x:v>45</x:v>
      </x:c>
      <x:c r="K86" s="108" t="n">
        <x:v>45</x:v>
      </x:c>
      <x:c r="L86" s="108" t="n">
        <x:v>45</x:v>
      </x:c>
      <x:c r="M86" s="108" t="str">
        <x:v>沿用建议</x:v>
      </x:c>
      <x:c r="N86" s="108" t="n">
        <x:v>38</x:v>
      </x:c>
      <x:c r="O86" s="108" t="n">
        <x:v>55</x:v>
      </x:c>
      <x:c r="P86" s="108" t="n">
        <x:v>5</x:v>
      </x:c>
      <x:c r="Q86" s="91" t="str">
        <x:v>否</x:v>
      </x:c>
      <x:c r="R86" s="91" t="n">
        <x:v>1</x:v>
      </x:c>
      <x:c r="S86" s="91" t="str">
        <x:v>无</x:v>
      </x:c>
      <x:c r="T86" s="91" t="str">
        <x:v>模拟正常样本</x:v>
      </x:c>
      <x:c r="U86" s="91" t="n">
        <x:f>ABS(L86-N86)</x:f>
        <x:v>7</x:v>
      </x:c>
      <x:c r="V86" s="91" t="str">
        <x:f>IF(L86=K86,"沿用建议","人工调整")</x:f>
        <x:v>沿用建议</x:v>
      </x:c>
      <x:c r="W86" s="92" t="str">
        <x:f>IF(Q86="是","售罄风险",IF(P86&gt;3,"损耗风险","正常"))</x:f>
        <x:v>损耗风险</x:v>
      </x:c>
    </x:row>
    <x:row r="87" ht="20" customHeight="1">
      <x:c r="A87" s="105" t="n">
        <x:v>46194</x:v>
      </x:c>
      <x:c r="B87" s="91" t="str">
        <x:v>模拟店 C（社区门店）</x:v>
      </x:c>
      <x:c r="C87" s="91" t="str">
        <x:v>成长期</x:v>
      </x:c>
      <x:c r="D87" s="91" t="str">
        <x:v>桂花糖藕</x:v>
      </x:c>
      <x:c r="E87" s="91" t="str">
        <x:v>晚市</x:v>
      </x:c>
      <x:c r="F87" s="91" t="str">
        <x:v>周末周日</x:v>
      </x:c>
      <x:c r="G87" s="91" t="str">
        <x:v>降温</x:v>
      </x:c>
      <x:c r="H87" s="91" t="str">
        <x:v>无</x:v>
      </x:c>
      <x:c r="I87" s="108" t="n">
        <x:v>28</x:v>
      </x:c>
      <x:c r="J87" s="108" t="n">
        <x:v>32</x:v>
      </x:c>
      <x:c r="K87" s="108" t="n">
        <x:v>32</x:v>
      </x:c>
      <x:c r="L87" s="108" t="n">
        <x:v>35</x:v>
      </x:c>
      <x:c r="M87" s="108" t="str">
        <x:v>商圈活动临时变化</x:v>
      </x:c>
      <x:c r="N87" s="108" t="n">
        <x:v>26</x:v>
      </x:c>
      <x:c r="O87" s="108" t="n">
        <x:v>46</x:v>
      </x:c>
      <x:c r="P87" s="108" t="n">
        <x:v>8</x:v>
      </x:c>
      <x:c r="Q87" s="91" t="str">
        <x:v>否</x:v>
      </x:c>
      <x:c r="R87" s="91" t="n">
        <x:v>1</x:v>
      </x:c>
      <x:c r="S87" s="91" t="str">
        <x:v>无</x:v>
      </x:c>
      <x:c r="T87" s="91" t="str">
        <x:v>模拟正常样本</x:v>
      </x:c>
      <x:c r="U87" s="91" t="n">
        <x:f>ABS(L87-N87)</x:f>
        <x:v>9</x:v>
      </x:c>
      <x:c r="V87" s="91" t="str">
        <x:f>IF(L87=K87,"沿用建议","人工调整")</x:f>
        <x:v>人工调整</x:v>
      </x:c>
      <x:c r="W87" s="92" t="str">
        <x:f>IF(Q87="是","售罄风险",IF(P87&gt;3,"损耗风险","正常"))</x:f>
        <x:v>损耗风险</x:v>
      </x:c>
    </x:row>
    <x:row r="88" ht="20" customHeight="1">
      <x:c r="A88" s="105" t="n">
        <x:v>46194</x:v>
      </x:c>
      <x:c r="B88" s="91" t="str">
        <x:v>模拟店 C（社区门店）</x:v>
      </x:c>
      <x:c r="C88" s="91" t="str">
        <x:v>成长期</x:v>
      </x:c>
      <x:c r="D88" s="91" t="str">
        <x:v>藕夹</x:v>
      </x:c>
      <x:c r="E88" s="91" t="str">
        <x:v>晚市</x:v>
      </x:c>
      <x:c r="F88" s="91" t="str">
        <x:v>周末周日</x:v>
      </x:c>
      <x:c r="G88" s="91" t="str">
        <x:v>降温</x:v>
      </x:c>
      <x:c r="H88" s="91" t="str">
        <x:v>无</x:v>
      </x:c>
      <x:c r="I88" s="108" t="n">
        <x:v>32</x:v>
      </x:c>
      <x:c r="J88" s="108" t="n">
        <x:v>36</x:v>
      </x:c>
      <x:c r="K88" s="108" t="n">
        <x:v>36</x:v>
      </x:c>
      <x:c r="L88" s="108" t="n">
        <x:v>36</x:v>
      </x:c>
      <x:c r="M88" s="108" t="str">
        <x:v>沿用建议</x:v>
      </x:c>
      <x:c r="N88" s="108" t="n">
        <x:v>30</x:v>
      </x:c>
      <x:c r="O88" s="108" t="n">
        <x:v>43</x:v>
      </x:c>
      <x:c r="P88" s="108" t="n">
        <x:v>4</x:v>
      </x:c>
      <x:c r="Q88" s="91" t="str">
        <x:v>否</x:v>
      </x:c>
      <x:c r="R88" s="91" t="n">
        <x:v>3</x:v>
      </x:c>
      <x:c r="S88" s="91" t="str">
        <x:v>无</x:v>
      </x:c>
      <x:c r="T88" s="91" t="str">
        <x:v>模拟正常样本</x:v>
      </x:c>
      <x:c r="U88" s="91" t="n">
        <x:f>ABS(L88-N88)</x:f>
        <x:v>6</x:v>
      </x:c>
      <x:c r="V88" s="91" t="str">
        <x:f>IF(L88=K88,"沿用建议","人工调整")</x:f>
        <x:v>沿用建议</x:v>
      </x:c>
      <x:c r="W88" s="92" t="str">
        <x:f>IF(Q88="是","售罄风险",IF(P88&gt;3,"损耗风险","正常"))</x:f>
        <x:v>损耗风险</x:v>
      </x:c>
    </x:row>
    <x:row r="89" ht="20" customHeight="1">
      <x:c r="A89" s="105" t="n">
        <x:v>46195</x:v>
      </x:c>
      <x:c r="B89" s="91" t="str">
        <x:v>模拟店 A（成熟商圈）</x:v>
      </x:c>
      <x:c r="C89" s="91" t="str">
        <x:v>成熟店</x:v>
      </x:c>
      <x:c r="D89" s="91" t="str">
        <x:v>筒骨煨藕汤</x:v>
      </x:c>
      <x:c r="E89" s="91" t="str">
        <x:v>晚市</x:v>
      </x:c>
      <x:c r="F89" s="91" t="str">
        <x:v>工作日周一</x:v>
      </x:c>
      <x:c r="G89" s="91" t="str">
        <x:v>常温</x:v>
      </x:c>
      <x:c r="H89" s="91" t="str">
        <x:v>无</x:v>
      </x:c>
      <x:c r="I89" s="108" t="n">
        <x:v>68</x:v>
      </x:c>
      <x:c r="J89" s="108" t="n">
        <x:v>76</x:v>
      </x:c>
      <x:c r="K89" s="108" t="n">
        <x:v>76</x:v>
      </x:c>
      <x:c r="L89" s="108" t="n">
        <x:v>76</x:v>
      </x:c>
      <x:c r="M89" s="108" t="str">
        <x:v>沿用建议</x:v>
      </x:c>
      <x:c r="N89" s="108" t="n">
        <x:v>63</x:v>
      </x:c>
      <x:c r="O89" s="108" t="n">
        <x:v>90</x:v>
      </x:c>
      <x:c r="P89" s="108" t="n">
        <x:v>11</x:v>
      </x:c>
      <x:c r="Q89" s="91" t="str">
        <x:v>否</x:v>
      </x:c>
      <x:c r="R89" s="91" t="n">
        <x:v>1</x:v>
      </x:c>
      <x:c r="S89" s="91" t="str">
        <x:v>无</x:v>
      </x:c>
      <x:c r="T89" s="91" t="str">
        <x:v>模拟正常样本</x:v>
      </x:c>
      <x:c r="U89" s="91" t="n">
        <x:f>ABS(L89-N89)</x:f>
        <x:v>13</x:v>
      </x:c>
      <x:c r="V89" s="91" t="str">
        <x:f>IF(L89=K89,"沿用建议","人工调整")</x:f>
        <x:v>沿用建议</x:v>
      </x:c>
      <x:c r="W89" s="92" t="str">
        <x:f>IF(Q89="是","售罄风险",IF(P89&gt;3,"损耗风险","正常"))</x:f>
        <x:v>损耗风险</x:v>
      </x:c>
    </x:row>
    <x:row r="90" ht="20" customHeight="1">
      <x:c r="A90" s="105" t="n">
        <x:v>46195</x:v>
      </x:c>
      <x:c r="B90" s="91" t="str">
        <x:v>模拟店 A（成熟商圈）</x:v>
      </x:c>
      <x:c r="C90" s="91" t="str">
        <x:v>成熟店</x:v>
      </x:c>
      <x:c r="D90" s="91" t="str">
        <x:v>粉蒸排骨</x:v>
      </x:c>
      <x:c r="E90" s="91" t="str">
        <x:v>晚市</x:v>
      </x:c>
      <x:c r="F90" s="91" t="str">
        <x:v>工作日周一</x:v>
      </x:c>
      <x:c r="G90" s="91" t="str">
        <x:v>常温</x:v>
      </x:c>
      <x:c r="H90" s="91" t="str">
        <x:v>无</x:v>
      </x:c>
      <x:c r="I90" s="108" t="n">
        <x:v>42</x:v>
      </x:c>
      <x:c r="J90" s="108" t="n">
        <x:v>46</x:v>
      </x:c>
      <x:c r="K90" s="108" t="n">
        <x:v>46</x:v>
      </x:c>
      <x:c r="L90" s="108" t="n">
        <x:v>46</x:v>
      </x:c>
      <x:c r="M90" s="108" t="str">
        <x:v>沿用建议</x:v>
      </x:c>
      <x:c r="N90" s="108" t="n">
        <x:v>39</x:v>
      </x:c>
      <x:c r="O90" s="108" t="n">
        <x:v>58</x:v>
      </x:c>
      <x:c r="P90" s="108" t="n">
        <x:v>5</x:v>
      </x:c>
      <x:c r="Q90" s="91" t="str">
        <x:v>否</x:v>
      </x:c>
      <x:c r="R90" s="91" t="n">
        <x:v>1</x:v>
      </x:c>
      <x:c r="S90" s="91" t="str">
        <x:v>无</x:v>
      </x:c>
      <x:c r="T90" s="91" t="str">
        <x:v>模拟正常样本</x:v>
      </x:c>
      <x:c r="U90" s="91" t="n">
        <x:f>ABS(L90-N90)</x:f>
        <x:v>7</x:v>
      </x:c>
      <x:c r="V90" s="91" t="str">
        <x:f>IF(L90=K90,"沿用建议","人工调整")</x:f>
        <x:v>沿用建议</x:v>
      </x:c>
      <x:c r="W90" s="92" t="str">
        <x:f>IF(Q90="是","售罄风险",IF(P90&gt;3,"损耗风险","正常"))</x:f>
        <x:v>损耗风险</x:v>
      </x:c>
    </x:row>
    <x:row r="91" ht="20" customHeight="1">
      <x:c r="A91" s="105" t="n">
        <x:v>46195</x:v>
      </x:c>
      <x:c r="B91" s="91" t="str">
        <x:v>模拟店 A（成熟商圈）</x:v>
      </x:c>
      <x:c r="C91" s="91" t="str">
        <x:v>成熟店</x:v>
      </x:c>
      <x:c r="D91" s="91" t="str">
        <x:v>桂花糖藕</x:v>
      </x:c>
      <x:c r="E91" s="91" t="str">
        <x:v>晚市</x:v>
      </x:c>
      <x:c r="F91" s="91" t="str">
        <x:v>工作日周一</x:v>
      </x:c>
      <x:c r="G91" s="91" t="str">
        <x:v>常温</x:v>
      </x:c>
      <x:c r="H91" s="91" t="str">
        <x:v>无</x:v>
      </x:c>
      <x:c r="I91" s="108" t="n">
        <x:v>28</x:v>
      </x:c>
      <x:c r="J91" s="108" t="n">
        <x:v>32</x:v>
      </x:c>
      <x:c r="K91" s="108" t="n">
        <x:v>32</x:v>
      </x:c>
      <x:c r="L91" s="108" t="n">
        <x:v>32</x:v>
      </x:c>
      <x:c r="M91" s="108" t="str">
        <x:v>沿用建议</x:v>
      </x:c>
      <x:c r="N91" s="108" t="n">
        <x:v>26</x:v>
      </x:c>
      <x:c r="O91" s="108" t="n">
        <x:v>46</x:v>
      </x:c>
      <x:c r="P91" s="108" t="n">
        <x:v>5</x:v>
      </x:c>
      <x:c r="Q91" s="91" t="str">
        <x:v>否</x:v>
      </x:c>
      <x:c r="R91" s="91" t="n">
        <x:v>1</x:v>
      </x:c>
      <x:c r="S91" s="91" t="str">
        <x:v>无</x:v>
      </x:c>
      <x:c r="T91" s="91" t="str">
        <x:v>模拟正常样本</x:v>
      </x:c>
      <x:c r="U91" s="91" t="n">
        <x:f>ABS(L91-N91)</x:f>
        <x:v>6</x:v>
      </x:c>
      <x:c r="V91" s="91" t="str">
        <x:f>IF(L91=K91,"沿用建议","人工调整")</x:f>
        <x:v>沿用建议</x:v>
      </x:c>
      <x:c r="W91" s="92" t="str">
        <x:f>IF(Q91="是","售罄风险",IF(P91&gt;3,"损耗风险","正常"))</x:f>
        <x:v>损耗风险</x:v>
      </x:c>
    </x:row>
    <x:row r="92" ht="20" customHeight="1">
      <x:c r="A92" s="105" t="n">
        <x:v>46195</x:v>
      </x:c>
      <x:c r="B92" s="91" t="str">
        <x:v>模拟店 A（成熟商圈）</x:v>
      </x:c>
      <x:c r="C92" s="91" t="str">
        <x:v>成熟店</x:v>
      </x:c>
      <x:c r="D92" s="91" t="str">
        <x:v>藕夹</x:v>
      </x:c>
      <x:c r="E92" s="91" t="str">
        <x:v>晚市</x:v>
      </x:c>
      <x:c r="F92" s="91" t="str">
        <x:v>工作日周一</x:v>
      </x:c>
      <x:c r="G92" s="91" t="str">
        <x:v>常温</x:v>
      </x:c>
      <x:c r="H92" s="91" t="str">
        <x:v>无</x:v>
      </x:c>
      <x:c r="I92" s="108" t="n">
        <x:v>34</x:v>
      </x:c>
      <x:c r="J92" s="108" t="n">
        <x:v>38</x:v>
      </x:c>
      <x:c r="K92" s="108" t="n">
        <x:v>38</x:v>
      </x:c>
      <x:c r="L92" s="108" t="n">
        <x:v>41</x:v>
      </x:c>
      <x:c r="M92" s="108" t="str">
        <x:v>当班经验判断</x:v>
      </x:c>
      <x:c r="N92" s="108" t="n">
        <x:v>35</x:v>
      </x:c>
      <x:c r="O92" s="108" t="n">
        <x:v>46</x:v>
      </x:c>
      <x:c r="P92" s="108" t="n">
        <x:v>4</x:v>
      </x:c>
      <x:c r="Q92" s="91" t="str">
        <x:v>否</x:v>
      </x:c>
      <x:c r="R92" s="91" t="n">
        <x:v>1</x:v>
      </x:c>
      <x:c r="S92" s="91" t="str">
        <x:v>无</x:v>
      </x:c>
      <x:c r="T92" s="91" t="str">
        <x:v>模拟正常样本</x:v>
      </x:c>
      <x:c r="U92" s="91" t="n">
        <x:f>ABS(L92-N92)</x:f>
        <x:v>6</x:v>
      </x:c>
      <x:c r="V92" s="91" t="str">
        <x:f>IF(L92=K92,"沿用建议","人工调整")</x:f>
        <x:v>人工调整</x:v>
      </x:c>
      <x:c r="W92" s="92" t="str">
        <x:f>IF(Q92="是","售罄风险",IF(P92&gt;3,"损耗风险","正常"))</x:f>
        <x:v>损耗风险</x:v>
      </x:c>
    </x:row>
    <x:row r="93" ht="20" customHeight="1">
      <x:c r="A93" s="105" t="n">
        <x:v>46195</x:v>
      </x:c>
      <x:c r="B93" s="91" t="str">
        <x:v>模拟店 B（新开门店）</x:v>
      </x:c>
      <x:c r="C93" s="91" t="str">
        <x:v>新店</x:v>
      </x:c>
      <x:c r="D93" s="91" t="str">
        <x:v>筒骨煨藕汤</x:v>
      </x:c>
      <x:c r="E93" s="91" t="str">
        <x:v>晚市</x:v>
      </x:c>
      <x:c r="F93" s="91" t="str">
        <x:v>工作日周一</x:v>
      </x:c>
      <x:c r="G93" s="91" t="str">
        <x:v>降温</x:v>
      </x:c>
      <x:c r="H93" s="91" t="str">
        <x:v>无</x:v>
      </x:c>
      <x:c r="I93" s="108" t="n">
        <x:v>55</x:v>
      </x:c>
      <x:c r="J93" s="108" t="n">
        <x:v>62</x:v>
      </x:c>
      <x:c r="K93" s="108" t="n">
        <x:v>62</x:v>
      </x:c>
      <x:c r="L93" s="108" t="n">
        <x:v>62</x:v>
      </x:c>
      <x:c r="M93" s="108" t="str">
        <x:v>沿用建议</x:v>
      </x:c>
      <x:c r="N93" s="108" t="n">
        <x:v>56</x:v>
      </x:c>
      <x:c r="O93" s="108" t="n">
        <x:v>73</x:v>
      </x:c>
      <x:c r="P93" s="108" t="n">
        <x:v>4</x:v>
      </x:c>
      <x:c r="Q93" s="91" t="str">
        <x:v>否</x:v>
      </x:c>
      <x:c r="R93" s="91" t="n">
        <x:v>1</x:v>
      </x:c>
      <x:c r="S93" s="91" t="str">
        <x:v>无</x:v>
      </x:c>
      <x:c r="T93" s="91" t="str">
        <x:v>模拟正常样本</x:v>
      </x:c>
      <x:c r="U93" s="91" t="n">
        <x:f>ABS(L93-N93)</x:f>
        <x:v>6</x:v>
      </x:c>
      <x:c r="V93" s="91" t="str">
        <x:f>IF(L93=K93,"沿用建议","人工调整")</x:f>
        <x:v>沿用建议</x:v>
      </x:c>
      <x:c r="W93" s="92" t="str">
        <x:f>IF(Q93="是","售罄风险",IF(P93&gt;3,"损耗风险","正常"))</x:f>
        <x:v>损耗风险</x:v>
      </x:c>
    </x:row>
    <x:row r="94" ht="20" customHeight="1">
      <x:c r="A94" s="105" t="n">
        <x:v>46195</x:v>
      </x:c>
      <x:c r="B94" s="91" t="str">
        <x:v>模拟店 B（新开门店）</x:v>
      </x:c>
      <x:c r="C94" s="91" t="str">
        <x:v>新店</x:v>
      </x:c>
      <x:c r="D94" s="91" t="str">
        <x:v>粉蒸排骨</x:v>
      </x:c>
      <x:c r="E94" s="91" t="str">
        <x:v>晚市</x:v>
      </x:c>
      <x:c r="F94" s="91" t="str">
        <x:v>工作日周一</x:v>
      </x:c>
      <x:c r="G94" s="91" t="str">
        <x:v>降温</x:v>
      </x:c>
      <x:c r="H94" s="91" t="str">
        <x:v>无</x:v>
      </x:c>
      <x:c r="I94" s="108" t="n">
        <x:v>33</x:v>
      </x:c>
      <x:c r="J94" s="108" t="n">
        <x:v>37</x:v>
      </x:c>
      <x:c r="K94" s="108" t="n">
        <x:v>37</x:v>
      </x:c>
      <x:c r="L94" s="108" t="n">
        <x:v>37</x:v>
      </x:c>
      <x:c r="M94" s="108" t="str">
        <x:v>沿用建议</x:v>
      </x:c>
      <x:c r="N94" s="108" t="n">
        <x:v>31</x:v>
      </x:c>
      <x:c r="O94" s="108" t="n">
        <x:v>48</x:v>
      </x:c>
      <x:c r="P94" s="108" t="n">
        <x:v>4</x:v>
      </x:c>
      <x:c r="Q94" s="91" t="str">
        <x:v>否</x:v>
      </x:c>
      <x:c r="R94" s="91" t="n">
        <x:v>2</x:v>
      </x:c>
      <x:c r="S94" s="91" t="str">
        <x:v>无</x:v>
      </x:c>
      <x:c r="T94" s="91" t="str">
        <x:v>模拟正常样本</x:v>
      </x:c>
      <x:c r="U94" s="91" t="n">
        <x:f>ABS(L94-N94)</x:f>
        <x:v>6</x:v>
      </x:c>
      <x:c r="V94" s="91" t="str">
        <x:f>IF(L94=K94,"沿用建议","人工调整")</x:f>
        <x:v>沿用建议</x:v>
      </x:c>
      <x:c r="W94" s="92" t="str">
        <x:f>IF(Q94="是","售罄风险",IF(P94&gt;3,"损耗风险","正常"))</x:f>
        <x:v>损耗风险</x:v>
      </x:c>
    </x:row>
    <x:row r="95" ht="20" customHeight="1">
      <x:c r="A95" s="105" t="n">
        <x:v>46195</x:v>
      </x:c>
      <x:c r="B95" s="91" t="str">
        <x:v>模拟店 B（新开门店）</x:v>
      </x:c>
      <x:c r="C95" s="91" t="str">
        <x:v>新店</x:v>
      </x:c>
      <x:c r="D95" s="91" t="str">
        <x:v>桂花糖藕</x:v>
      </x:c>
      <x:c r="E95" s="91" t="str">
        <x:v>晚市</x:v>
      </x:c>
      <x:c r="F95" s="91" t="str">
        <x:v>工作日周一</x:v>
      </x:c>
      <x:c r="G95" s="91" t="str">
        <x:v>降温</x:v>
      </x:c>
      <x:c r="H95" s="91" t="str">
        <x:v>无</x:v>
      </x:c>
      <x:c r="I95" s="108" t="n">
        <x:v>21</x:v>
      </x:c>
      <x:c r="J95" s="108" t="n">
        <x:v>25</x:v>
      </x:c>
      <x:c r="K95" s="108" t="n">
        <x:v>25</x:v>
      </x:c>
      <x:c r="L95" s="108" t="n">
        <x:v>25</x:v>
      </x:c>
      <x:c r="M95" s="108" t="str">
        <x:v>沿用建议</x:v>
      </x:c>
      <x:c r="N95" s="108" t="n">
        <x:v>23</x:v>
      </x:c>
      <x:c r="O95" s="108" t="n">
        <x:v>38</x:v>
      </x:c>
      <x:c r="P95" s="108" t="n">
        <x:v>1</x:v>
      </x:c>
      <x:c r="Q95" s="91" t="str">
        <x:v>否</x:v>
      </x:c>
      <x:c r="R95" s="91" t="n">
        <x:v>1</x:v>
      </x:c>
      <x:c r="S95" s="91" t="str">
        <x:v>无</x:v>
      </x:c>
      <x:c r="T95" s="91" t="str">
        <x:v>模拟正常样本</x:v>
      </x:c>
      <x:c r="U95" s="91" t="n">
        <x:f>ABS(L95-N95)</x:f>
        <x:v>2</x:v>
      </x:c>
      <x:c r="V95" s="91" t="str">
        <x:f>IF(L95=K95,"沿用建议","人工调整")</x:f>
        <x:v>沿用建议</x:v>
      </x:c>
      <x:c r="W95" s="92" t="str">
        <x:f>IF(Q95="是","售罄风险",IF(P95&gt;3,"损耗风险","正常"))</x:f>
        <x:v>正常</x:v>
      </x:c>
    </x:row>
    <x:row r="96" ht="20" customHeight="1">
      <x:c r="A96" s="105" t="n">
        <x:v>46195</x:v>
      </x:c>
      <x:c r="B96" s="91" t="str">
        <x:v>模拟店 B（新开门店）</x:v>
      </x:c>
      <x:c r="C96" s="91" t="str">
        <x:v>新店</x:v>
      </x:c>
      <x:c r="D96" s="91" t="str">
        <x:v>藕夹</x:v>
      </x:c>
      <x:c r="E96" s="91" t="str">
        <x:v>晚市</x:v>
      </x:c>
      <x:c r="F96" s="91" t="str">
        <x:v>工作日周一</x:v>
      </x:c>
      <x:c r="G96" s="91" t="str">
        <x:v>降温</x:v>
      </x:c>
      <x:c r="H96" s="91" t="str">
        <x:v>无</x:v>
      </x:c>
      <x:c r="I96" s="108" t="n">
        <x:v>25</x:v>
      </x:c>
      <x:c r="J96" s="108" t="n">
        <x:v>29</x:v>
      </x:c>
      <x:c r="K96" s="108" t="n">
        <x:v>29</x:v>
      </x:c>
      <x:c r="L96" s="108" t="n">
        <x:v>29</x:v>
      </x:c>
      <x:c r="M96" s="108" t="str">
        <x:v>沿用建议</x:v>
      </x:c>
      <x:c r="N96" s="108" t="n">
        <x:v>23</x:v>
      </x:c>
      <x:c r="O96" s="108" t="n">
        <x:v>39</x:v>
      </x:c>
      <x:c r="P96" s="108" t="n">
        <x:v>4</x:v>
      </x:c>
      <x:c r="Q96" s="91" t="str">
        <x:v>否</x:v>
      </x:c>
      <x:c r="R96" s="91" t="n">
        <x:v>1</x:v>
      </x:c>
      <x:c r="S96" s="91" t="str">
        <x:v>无</x:v>
      </x:c>
      <x:c r="T96" s="91" t="str">
        <x:v>模拟正常样本</x:v>
      </x:c>
      <x:c r="U96" s="91" t="n">
        <x:f>ABS(L96-N96)</x:f>
        <x:v>6</x:v>
      </x:c>
      <x:c r="V96" s="91" t="str">
        <x:f>IF(L96=K96,"沿用建议","人工调整")</x:f>
        <x:v>沿用建议</x:v>
      </x:c>
      <x:c r="W96" s="92" t="str">
        <x:f>IF(Q96="是","售罄风险",IF(P96&gt;3,"损耗风险","正常"))</x:f>
        <x:v>损耗风险</x:v>
      </x:c>
    </x:row>
    <x:row r="97" ht="20" customHeight="1">
      <x:c r="A97" s="105" t="n">
        <x:v>46195</x:v>
      </x:c>
      <x:c r="B97" s="91" t="str">
        <x:v>模拟店 C（社区门店）</x:v>
      </x:c>
      <x:c r="C97" s="91" t="str">
        <x:v>成长期</x:v>
      </x:c>
      <x:c r="D97" s="91" t="str">
        <x:v>筒骨煨藕汤</x:v>
      </x:c>
      <x:c r="E97" s="91" t="str">
        <x:v>晚市</x:v>
      </x:c>
      <x:c r="F97" s="91" t="str">
        <x:v>工作日周一</x:v>
      </x:c>
      <x:c r="G97" s="91" t="str">
        <x:v>雨天</x:v>
      </x:c>
      <x:c r="H97" s="91" t="str">
        <x:v>无</x:v>
      </x:c>
      <x:c r="I97" s="108" t="n">
        <x:v>61</x:v>
      </x:c>
      <x:c r="J97" s="108" t="n">
        <x:v>68</x:v>
      </x:c>
      <x:c r="K97" s="108" t="n">
        <x:v>68</x:v>
      </x:c>
      <x:c r="L97" s="108" t="n">
        <x:v>68</x:v>
      </x:c>
      <x:c r="M97" s="108" t="str">
        <x:v>沿用建议</x:v>
      </x:c>
      <x:c r="N97" s="108" t="n">
        <x:v>63</x:v>
      </x:c>
      <x:c r="O97" s="108" t="n">
        <x:v>78</x:v>
      </x:c>
      <x:c r="P97" s="108" t="n">
        <x:v>3</x:v>
      </x:c>
      <x:c r="Q97" s="91" t="str">
        <x:v>否</x:v>
      </x:c>
      <x:c r="R97" s="91" t="n">
        <x:v>1</x:v>
      </x:c>
      <x:c r="S97" s="91" t="str">
        <x:v>无</x:v>
      </x:c>
      <x:c r="T97" s="91" t="str">
        <x:v>模拟正常样本</x:v>
      </x:c>
      <x:c r="U97" s="91" t="n">
        <x:f>ABS(L97-N97)</x:f>
        <x:v>5</x:v>
      </x:c>
      <x:c r="V97" s="91" t="str">
        <x:f>IF(L97=K97,"沿用建议","人工调整")</x:f>
        <x:v>沿用建议</x:v>
      </x:c>
      <x:c r="W97" s="92" t="str">
        <x:f>IF(Q97="是","售罄风险",IF(P97&gt;3,"损耗风险","正常"))</x:f>
        <x:v>正常</x:v>
      </x:c>
    </x:row>
    <x:row r="98" ht="20" customHeight="1">
      <x:c r="A98" s="105" t="n">
        <x:v>46195</x:v>
      </x:c>
      <x:c r="B98" s="91" t="str">
        <x:v>模拟店 C（社区门店）</x:v>
      </x:c>
      <x:c r="C98" s="91" t="str">
        <x:v>成长期</x:v>
      </x:c>
      <x:c r="D98" s="91" t="str">
        <x:v>粉蒸排骨</x:v>
      </x:c>
      <x:c r="E98" s="91" t="str">
        <x:v>晚市</x:v>
      </x:c>
      <x:c r="F98" s="91" t="str">
        <x:v>工作日周一</x:v>
      </x:c>
      <x:c r="G98" s="91" t="str">
        <x:v>雨天</x:v>
      </x:c>
      <x:c r="H98" s="91" t="str">
        <x:v>无</x:v>
      </x:c>
      <x:c r="I98" s="108" t="n">
        <x:v>35</x:v>
      </x:c>
      <x:c r="J98" s="108" t="n">
        <x:v>39</x:v>
      </x:c>
      <x:c r="K98" s="108" t="n">
        <x:v>39</x:v>
      </x:c>
      <x:c r="L98" s="108" t="n">
        <x:v>39</x:v>
      </x:c>
      <x:c r="M98" s="108" t="str">
        <x:v>沿用建议</x:v>
      </x:c>
      <x:c r="N98" s="108" t="n">
        <x:v>32</x:v>
      </x:c>
      <x:c r="O98" s="108" t="n">
        <x:v>52</x:v>
      </x:c>
      <x:c r="P98" s="108" t="n">
        <x:v>5</x:v>
      </x:c>
      <x:c r="Q98" s="91" t="str">
        <x:v>否</x:v>
      </x:c>
      <x:c r="R98" s="91" t="n">
        <x:v>0</x:v>
      </x:c>
      <x:c r="S98" s="91" t="str">
        <x:v>无</x:v>
      </x:c>
      <x:c r="T98" s="91" t="str">
        <x:v>模拟正常样本</x:v>
      </x:c>
      <x:c r="U98" s="91" t="n">
        <x:f>ABS(L98-N98)</x:f>
        <x:v>7</x:v>
      </x:c>
      <x:c r="V98" s="91" t="str">
        <x:f>IF(L98=K98,"沿用建议","人工调整")</x:f>
        <x:v>沿用建议</x:v>
      </x:c>
      <x:c r="W98" s="92" t="str">
        <x:f>IF(Q98="是","售罄风险",IF(P98&gt;3,"损耗风险","正常"))</x:f>
        <x:v>损耗风险</x:v>
      </x:c>
    </x:row>
    <x:row r="99" ht="20" customHeight="1">
      <x:c r="A99" s="105" t="n">
        <x:v>46195</x:v>
      </x:c>
      <x:c r="B99" s="91" t="str">
        <x:v>模拟店 C（社区门店）</x:v>
      </x:c>
      <x:c r="C99" s="91" t="str">
        <x:v>成长期</x:v>
      </x:c>
      <x:c r="D99" s="91" t="str">
        <x:v>桂花糖藕</x:v>
      </x:c>
      <x:c r="E99" s="91" t="str">
        <x:v>晚市</x:v>
      </x:c>
      <x:c r="F99" s="91" t="str">
        <x:v>工作日周一</x:v>
      </x:c>
      <x:c r="G99" s="91" t="str">
        <x:v>雨天</x:v>
      </x:c>
      <x:c r="H99" s="91" t="str">
        <x:v>无</x:v>
      </x:c>
      <x:c r="I99" s="108" t="n">
        <x:v>22</x:v>
      </x:c>
      <x:c r="J99" s="108" t="n">
        <x:v>26</x:v>
      </x:c>
      <x:c r="K99" s="108" t="n">
        <x:v>26</x:v>
      </x:c>
      <x:c r="L99" s="108" t="n">
        <x:v>26</x:v>
      </x:c>
      <x:c r="M99" s="108" t="str">
        <x:v>沿用建议</x:v>
      </x:c>
      <x:c r="N99" s="108" t="n">
        <x:v>22</x:v>
      </x:c>
      <x:c r="O99" s="108" t="n">
        <x:v>41</x:v>
      </x:c>
      <x:c r="P99" s="108" t="n">
        <x:v>3</x:v>
      </x:c>
      <x:c r="Q99" s="91" t="str">
        <x:v>否</x:v>
      </x:c>
      <x:c r="R99" s="91" t="n">
        <x:v>3</x:v>
      </x:c>
      <x:c r="S99" s="91" t="str">
        <x:v>无</x:v>
      </x:c>
      <x:c r="T99" s="91" t="str">
        <x:v>模拟正常样本</x:v>
      </x:c>
      <x:c r="U99" s="91" t="n">
        <x:f>ABS(L99-N99)</x:f>
        <x:v>4</x:v>
      </x:c>
      <x:c r="V99" s="91" t="str">
        <x:f>IF(L99=K99,"沿用建议","人工调整")</x:f>
        <x:v>沿用建议</x:v>
      </x:c>
      <x:c r="W99" s="92" t="str">
        <x:f>IF(Q99="是","售罄风险",IF(P99&gt;3,"损耗风险","正常"))</x:f>
        <x:v>正常</x:v>
      </x:c>
    </x:row>
    <x:row r="100" ht="20" customHeight="1">
      <x:c r="A100" s="105" t="n">
        <x:v>46195</x:v>
      </x:c>
      <x:c r="B100" s="91" t="str">
        <x:v>模拟店 C（社区门店）</x:v>
      </x:c>
      <x:c r="C100" s="91" t="str">
        <x:v>成长期</x:v>
      </x:c>
      <x:c r="D100" s="91" t="str">
        <x:v>藕夹</x:v>
      </x:c>
      <x:c r="E100" s="91" t="str">
        <x:v>晚市</x:v>
      </x:c>
      <x:c r="F100" s="91" t="str">
        <x:v>工作日周一</x:v>
      </x:c>
      <x:c r="G100" s="91" t="str">
        <x:v>雨天</x:v>
      </x:c>
      <x:c r="H100" s="91" t="str">
        <x:v>无</x:v>
      </x:c>
      <x:c r="I100" s="108" t="n">
        <x:v>27</x:v>
      </x:c>
      <x:c r="J100" s="108" t="n">
        <x:v>31</x:v>
      </x:c>
      <x:c r="K100" s="108" t="n">
        <x:v>31</x:v>
      </x:c>
      <x:c r="L100" s="108" t="n">
        <x:v>31</x:v>
      </x:c>
      <x:c r="M100" s="108" t="str">
        <x:v>沿用建议</x:v>
      </x:c>
      <x:c r="N100" s="108" t="n">
        <x:v>27</x:v>
      </x:c>
      <x:c r="O100" s="108" t="n">
        <x:v>40</x:v>
      </x:c>
      <x:c r="P100" s="108" t="n">
        <x:v>2</x:v>
      </x:c>
      <x:c r="Q100" s="91" t="str">
        <x:v>否</x:v>
      </x:c>
      <x:c r="R100" s="91" t="n">
        <x:v>3</x:v>
      </x:c>
      <x:c r="S100" s="91" t="str">
        <x:v>无</x:v>
      </x:c>
      <x:c r="T100" s="91" t="str">
        <x:v>模拟正常样本</x:v>
      </x:c>
      <x:c r="U100" s="91" t="n">
        <x:f>ABS(L100-N100)</x:f>
        <x:v>4</x:v>
      </x:c>
      <x:c r="V100" s="91" t="str">
        <x:f>IF(L100=K100,"沿用建议","人工调整")</x:f>
        <x:v>沿用建议</x:v>
      </x:c>
      <x:c r="W100" s="92" t="str">
        <x:f>IF(Q100="是","售罄风险",IF(P100&gt;3,"损耗风险","正常"))</x:f>
        <x:v>正常</x:v>
      </x:c>
    </x:row>
    <x:row r="101" ht="20" customHeight="1">
      <x:c r="A101" s="105" t="n">
        <x:v>46196</x:v>
      </x:c>
      <x:c r="B101" s="91" t="str">
        <x:v>模拟店 A（成熟商圈）</x:v>
      </x:c>
      <x:c r="C101" s="91" t="str">
        <x:v>成熟店</x:v>
      </x:c>
      <x:c r="D101" s="91" t="str">
        <x:v>筒骨煨藕汤</x:v>
      </x:c>
      <x:c r="E101" s="91" t="str">
        <x:v>晚市</x:v>
      </x:c>
      <x:c r="F101" s="91" t="str">
        <x:v>工作日周二</x:v>
      </x:c>
      <x:c r="G101" s="91" t="str">
        <x:v>降温</x:v>
      </x:c>
      <x:c r="H101" s="91" t="str">
        <x:v>无</x:v>
      </x:c>
      <x:c r="I101" s="108" t="n">
        <x:v>80</x:v>
      </x:c>
      <x:c r="J101" s="108" t="n">
        <x:v>89</x:v>
      </x:c>
      <x:c r="K101" s="108" t="n">
        <x:v>89</x:v>
      </x:c>
      <x:c r="L101" s="108" t="n">
        <x:v>89</x:v>
      </x:c>
      <x:c r="M101" s="108" t="str">
        <x:v>沿用建议</x:v>
      </x:c>
      <x:c r="N101" s="108" t="n">
        <x:v>89</x:v>
      </x:c>
      <x:c r="O101" s="108" t="n">
        <x:v>97</x:v>
      </x:c>
      <x:c r="P101" s="108" t="n">
        <x:v>0</x:v>
      </x:c>
      <x:c r="Q101" s="91" t="str">
        <x:v>否</x:v>
      </x:c>
      <x:c r="R101" s="91" t="n">
        <x:v>3</x:v>
      </x:c>
      <x:c r="S101" s="91" t="str">
        <x:v>无</x:v>
      </x:c>
      <x:c r="T101" s="91" t="str">
        <x:v>模拟正常样本</x:v>
      </x:c>
      <x:c r="U101" s="91" t="n">
        <x:f>ABS(L101-N101)</x:f>
        <x:v>0</x:v>
      </x:c>
      <x:c r="V101" s="91" t="str">
        <x:f>IF(L101=K101,"沿用建议","人工调整")</x:f>
        <x:v>沿用建议</x:v>
      </x:c>
      <x:c r="W101" s="92" t="str">
        <x:f>IF(Q101="是","售罄风险",IF(P101&gt;3,"损耗风险","正常"))</x:f>
        <x:v>正常</x:v>
      </x:c>
    </x:row>
    <x:row r="102" ht="20" customHeight="1">
      <x:c r="A102" s="105" t="n">
        <x:v>46196</x:v>
      </x:c>
      <x:c r="B102" s="91" t="str">
        <x:v>模拟店 A（成熟商圈）</x:v>
      </x:c>
      <x:c r="C102" s="91" t="str">
        <x:v>成熟店</x:v>
      </x:c>
      <x:c r="D102" s="91" t="str">
        <x:v>粉蒸排骨</x:v>
      </x:c>
      <x:c r="E102" s="91" t="str">
        <x:v>晚市</x:v>
      </x:c>
      <x:c r="F102" s="91" t="str">
        <x:v>工作日周二</x:v>
      </x:c>
      <x:c r="G102" s="91" t="str">
        <x:v>降温</x:v>
      </x:c>
      <x:c r="H102" s="91" t="str">
        <x:v>无</x:v>
      </x:c>
      <x:c r="I102" s="108" t="n">
        <x:v>41</x:v>
      </x:c>
      <x:c r="J102" s="108" t="n">
        <x:v>45</x:v>
      </x:c>
      <x:c r="K102" s="108" t="n">
        <x:v>45</x:v>
      </x:c>
      <x:c r="L102" s="108" t="n">
        <x:v>45</x:v>
      </x:c>
      <x:c r="M102" s="108" t="str">
        <x:v>沿用建议</x:v>
      </x:c>
      <x:c r="N102" s="108" t="n">
        <x:v>44</x:v>
      </x:c>
      <x:c r="O102" s="108" t="n">
        <x:v>53</x:v>
      </x:c>
      <x:c r="P102" s="108" t="n">
        <x:v>0</x:v>
      </x:c>
      <x:c r="Q102" s="91" t="str">
        <x:v>否</x:v>
      </x:c>
      <x:c r="R102" s="91" t="n">
        <x:v>1</x:v>
      </x:c>
      <x:c r="S102" s="91" t="str">
        <x:v>无</x:v>
      </x:c>
      <x:c r="T102" s="91" t="str">
        <x:v>模拟正常样本</x:v>
      </x:c>
      <x:c r="U102" s="91" t="n">
        <x:f>ABS(L102-N102)</x:f>
        <x:v>1</x:v>
      </x:c>
      <x:c r="V102" s="91" t="str">
        <x:f>IF(L102=K102,"沿用建议","人工调整")</x:f>
        <x:v>沿用建议</x:v>
      </x:c>
      <x:c r="W102" s="92" t="str">
        <x:f>IF(Q102="是","售罄风险",IF(P102&gt;3,"损耗风险","正常"))</x:f>
        <x:v>正常</x:v>
      </x:c>
    </x:row>
    <x:row r="103" ht="20" customHeight="1">
      <x:c r="A103" s="105" t="n">
        <x:v>46196</x:v>
      </x:c>
      <x:c r="B103" s="91" t="str">
        <x:v>模拟店 A（成熟商圈）</x:v>
      </x:c>
      <x:c r="C103" s="91" t="str">
        <x:v>成熟店</x:v>
      </x:c>
      <x:c r="D103" s="91" t="str">
        <x:v>桂花糖藕</x:v>
      </x:c>
      <x:c r="E103" s="91" t="str">
        <x:v>晚市</x:v>
      </x:c>
      <x:c r="F103" s="91" t="str">
        <x:v>工作日周二</x:v>
      </x:c>
      <x:c r="G103" s="91" t="str">
        <x:v>降温</x:v>
      </x:c>
      <x:c r="H103" s="91" t="str">
        <x:v>无</x:v>
      </x:c>
      <x:c r="I103" s="108" t="n">
        <x:v>27</x:v>
      </x:c>
      <x:c r="J103" s="108" t="n">
        <x:v>31</x:v>
      </x:c>
      <x:c r="K103" s="108" t="n">
        <x:v>31</x:v>
      </x:c>
      <x:c r="L103" s="108" t="n">
        <x:v>31</x:v>
      </x:c>
      <x:c r="M103" s="108" t="str">
        <x:v>沿用建议</x:v>
      </x:c>
      <x:c r="N103" s="108" t="n">
        <x:v>26</x:v>
      </x:c>
      <x:c r="O103" s="108" t="n">
        <x:v>39</x:v>
      </x:c>
      <x:c r="P103" s="108" t="n">
        <x:v>4</x:v>
      </x:c>
      <x:c r="Q103" s="91" t="str">
        <x:v>否</x:v>
      </x:c>
      <x:c r="R103" s="91" t="n">
        <x:v>2</x:v>
      </x:c>
      <x:c r="S103" s="91" t="str">
        <x:v>无</x:v>
      </x:c>
      <x:c r="T103" s="91" t="str">
        <x:v>模拟正常样本</x:v>
      </x:c>
      <x:c r="U103" s="91" t="n">
        <x:f>ABS(L103-N103)</x:f>
        <x:v>5</x:v>
      </x:c>
      <x:c r="V103" s="91" t="str">
        <x:f>IF(L103=K103,"沿用建议","人工调整")</x:f>
        <x:v>沿用建议</x:v>
      </x:c>
      <x:c r="W103" s="92" t="str">
        <x:f>IF(Q103="是","售罄风险",IF(P103&gt;3,"损耗风险","正常"))</x:f>
        <x:v>损耗风险</x:v>
      </x:c>
    </x:row>
    <x:row r="104" ht="20" customHeight="1">
      <x:c r="A104" s="105" t="n">
        <x:v>46196</x:v>
      </x:c>
      <x:c r="B104" s="91" t="str">
        <x:v>模拟店 A（成熟商圈）</x:v>
      </x:c>
      <x:c r="C104" s="91" t="str">
        <x:v>成熟店</x:v>
      </x:c>
      <x:c r="D104" s="91" t="str">
        <x:v>藕夹</x:v>
      </x:c>
      <x:c r="E104" s="91" t="str">
        <x:v>晚市</x:v>
      </x:c>
      <x:c r="F104" s="91" t="str">
        <x:v>工作日周二</x:v>
      </x:c>
      <x:c r="G104" s="91" t="str">
        <x:v>降温</x:v>
      </x:c>
      <x:c r="H104" s="91" t="str">
        <x:v>无</x:v>
      </x:c>
      <x:c r="I104" s="108" t="n">
        <x:v>34</x:v>
      </x:c>
      <x:c r="J104" s="108" t="n">
        <x:v>38</x:v>
      </x:c>
      <x:c r="K104" s="108" t="n">
        <x:v>38</x:v>
      </x:c>
      <x:c r="L104" s="108" t="n">
        <x:v>38</x:v>
      </x:c>
      <x:c r="M104" s="108" t="str">
        <x:v>沿用建议</x:v>
      </x:c>
      <x:c r="N104" s="108" t="n">
        <x:v>35</x:v>
      </x:c>
      <x:c r="O104" s="108" t="n">
        <x:v>48</x:v>
      </x:c>
      <x:c r="P104" s="108" t="n">
        <x:v>1</x:v>
      </x:c>
      <x:c r="Q104" s="91" t="str">
        <x:v>否</x:v>
      </x:c>
      <x:c r="R104" s="91" t="n">
        <x:v>1</x:v>
      </x:c>
      <x:c r="S104" s="91" t="str">
        <x:v>无</x:v>
      </x:c>
      <x:c r="T104" s="91" t="str">
        <x:v>模拟正常样本</x:v>
      </x:c>
      <x:c r="U104" s="91" t="n">
        <x:f>ABS(L104-N104)</x:f>
        <x:v>3</x:v>
      </x:c>
      <x:c r="V104" s="91" t="str">
        <x:f>IF(L104=K104,"沿用建议","人工调整")</x:f>
        <x:v>沿用建议</x:v>
      </x:c>
      <x:c r="W104" s="92" t="str">
        <x:f>IF(Q104="是","售罄风险",IF(P104&gt;3,"损耗风险","正常"))</x:f>
        <x:v>正常</x:v>
      </x:c>
    </x:row>
    <x:row r="105" ht="20" customHeight="1">
      <x:c r="A105" s="105" t="n">
        <x:v>46196</x:v>
      </x:c>
      <x:c r="B105" s="91" t="str">
        <x:v>模拟店 B（新开门店）</x:v>
      </x:c>
      <x:c r="C105" s="91" t="str">
        <x:v>新店</x:v>
      </x:c>
      <x:c r="D105" s="91" t="str">
        <x:v>筒骨煨藕汤</x:v>
      </x:c>
      <x:c r="E105" s="91" t="str">
        <x:v>晚市</x:v>
      </x:c>
      <x:c r="F105" s="91" t="str">
        <x:v>工作日周二</x:v>
      </x:c>
      <x:c r="G105" s="91" t="str">
        <x:v>雨天</x:v>
      </x:c>
      <x:c r="H105" s="91" t="str">
        <x:v>无</x:v>
      </x:c>
      <x:c r="I105" s="108" t="n">
        <x:v>55</x:v>
      </x:c>
      <x:c r="J105" s="108" t="n">
        <x:v>62</x:v>
      </x:c>
      <x:c r="K105" s="108" t="n">
        <x:v>62</x:v>
      </x:c>
      <x:c r="L105" s="108" t="n">
        <x:v>60</x:v>
      </x:c>
      <x:c r="M105" s="108" t="str">
        <x:v>商圈活动临时变化</x:v>
      </x:c>
      <x:c r="N105" s="108" t="n">
        <x:v>57</x:v>
      </x:c>
      <x:c r="O105" s="108" t="n">
        <x:v>71</x:v>
      </x:c>
      <x:c r="P105" s="108" t="n">
        <x:v>1</x:v>
      </x:c>
      <x:c r="Q105" s="91" t="str">
        <x:v>否</x:v>
      </x:c>
      <x:c r="R105" s="91" t="n">
        <x:v>1</x:v>
      </x:c>
      <x:c r="S105" s="91" t="str">
        <x:v>无</x:v>
      </x:c>
      <x:c r="T105" s="91" t="str">
        <x:v>模拟正常样本</x:v>
      </x:c>
      <x:c r="U105" s="91" t="n">
        <x:f>ABS(L105-N105)</x:f>
        <x:v>3</x:v>
      </x:c>
      <x:c r="V105" s="91" t="str">
        <x:f>IF(L105=K105,"沿用建议","人工调整")</x:f>
        <x:v>人工调整</x:v>
      </x:c>
      <x:c r="W105" s="92" t="str">
        <x:f>IF(Q105="是","售罄风险",IF(P105&gt;3,"损耗风险","正常"))</x:f>
        <x:v>正常</x:v>
      </x:c>
    </x:row>
    <x:row r="106" ht="20" customHeight="1">
      <x:c r="A106" s="105" t="n">
        <x:v>46196</x:v>
      </x:c>
      <x:c r="B106" s="91" t="str">
        <x:v>模拟店 B（新开门店）</x:v>
      </x:c>
      <x:c r="C106" s="91" t="str">
        <x:v>新店</x:v>
      </x:c>
      <x:c r="D106" s="91" t="str">
        <x:v>粉蒸排骨</x:v>
      </x:c>
      <x:c r="E106" s="91" t="str">
        <x:v>晚市</x:v>
      </x:c>
      <x:c r="F106" s="91" t="str">
        <x:v>工作日周二</x:v>
      </x:c>
      <x:c r="G106" s="91" t="str">
        <x:v>雨天</x:v>
      </x:c>
      <x:c r="H106" s="91" t="str">
        <x:v>无</x:v>
      </x:c>
      <x:c r="I106" s="108" t="n">
        <x:v>30</x:v>
      </x:c>
      <x:c r="J106" s="108" t="n">
        <x:v>34</x:v>
      </x:c>
      <x:c r="K106" s="108" t="n">
        <x:v>34</x:v>
      </x:c>
      <x:c r="L106" s="108" t="n">
        <x:v>34</x:v>
      </x:c>
      <x:c r="M106" s="108" t="str">
        <x:v>沿用建议</x:v>
      </x:c>
      <x:c r="N106" s="108" t="n">
        <x:v>31</x:v>
      </x:c>
      <x:c r="O106" s="108" t="n">
        <x:v>49</x:v>
      </x:c>
      <x:c r="P106" s="108" t="n">
        <x:v>1</x:v>
      </x:c>
      <x:c r="Q106" s="91" t="str">
        <x:v>否</x:v>
      </x:c>
      <x:c r="R106" s="91" t="n">
        <x:v>2</x:v>
      </x:c>
      <x:c r="S106" s="91" t="str">
        <x:v>无</x:v>
      </x:c>
      <x:c r="T106" s="91" t="str">
        <x:v>模拟正常样本</x:v>
      </x:c>
      <x:c r="U106" s="91" t="n">
        <x:f>ABS(L106-N106)</x:f>
        <x:v>3</x:v>
      </x:c>
      <x:c r="V106" s="91" t="str">
        <x:f>IF(L106=K106,"沿用建议","人工调整")</x:f>
        <x:v>沿用建议</x:v>
      </x:c>
      <x:c r="W106" s="92" t="str">
        <x:f>IF(Q106="是","售罄风险",IF(P106&gt;3,"损耗风险","正常"))</x:f>
        <x:v>正常</x:v>
      </x:c>
    </x:row>
    <x:row r="107" ht="20" customHeight="1">
      <x:c r="A107" s="105" t="n">
        <x:v>46196</x:v>
      </x:c>
      <x:c r="B107" s="91" t="str">
        <x:v>模拟店 B（新开门店）</x:v>
      </x:c>
      <x:c r="C107" s="91" t="str">
        <x:v>新店</x:v>
      </x:c>
      <x:c r="D107" s="91" t="str">
        <x:v>桂花糖藕</x:v>
      </x:c>
      <x:c r="E107" s="91" t="str">
        <x:v>晚市</x:v>
      </x:c>
      <x:c r="F107" s="91" t="str">
        <x:v>工作日周二</x:v>
      </x:c>
      <x:c r="G107" s="91" t="str">
        <x:v>雨天</x:v>
      </x:c>
      <x:c r="H107" s="91" t="str">
        <x:v>无</x:v>
      </x:c>
      <x:c r="I107" s="108" t="n">
        <x:v>20</x:v>
      </x:c>
      <x:c r="J107" s="108" t="n">
        <x:v>24</x:v>
      </x:c>
      <x:c r="K107" s="108" t="n">
        <x:v>24</x:v>
      </x:c>
      <x:c r="L107" s="108" t="n">
        <x:v>24</x:v>
      </x:c>
      <x:c r="M107" s="108" t="str">
        <x:v>沿用建议</x:v>
      </x:c>
      <x:c r="N107" s="108" t="n">
        <x:v>19</x:v>
      </x:c>
      <x:c r="O107" s="108" t="n">
        <x:v>34</x:v>
      </x:c>
      <x:c r="P107" s="108" t="n">
        <x:v>4</x:v>
      </x:c>
      <x:c r="Q107" s="91" t="str">
        <x:v>否</x:v>
      </x:c>
      <x:c r="R107" s="91" t="n">
        <x:v>2</x:v>
      </x:c>
      <x:c r="S107" s="91" t="str">
        <x:v>无</x:v>
      </x:c>
      <x:c r="T107" s="91" t="str">
        <x:v>模拟正常样本</x:v>
      </x:c>
      <x:c r="U107" s="91" t="n">
        <x:f>ABS(L107-N107)</x:f>
        <x:v>5</x:v>
      </x:c>
      <x:c r="V107" s="91" t="str">
        <x:f>IF(L107=K107,"沿用建议","人工调整")</x:f>
        <x:v>沿用建议</x:v>
      </x:c>
      <x:c r="W107" s="92" t="str">
        <x:f>IF(Q107="是","售罄风险",IF(P107&gt;3,"损耗风险","正常"))</x:f>
        <x:v>损耗风险</x:v>
      </x:c>
    </x:row>
    <x:row r="108" ht="20" customHeight="1">
      <x:c r="A108" s="105" t="n">
        <x:v>46196</x:v>
      </x:c>
      <x:c r="B108" s="91" t="str">
        <x:v>模拟店 B（新开门店）</x:v>
      </x:c>
      <x:c r="C108" s="91" t="str">
        <x:v>新店</x:v>
      </x:c>
      <x:c r="D108" s="91" t="str">
        <x:v>藕夹</x:v>
      </x:c>
      <x:c r="E108" s="91" t="str">
        <x:v>晚市</x:v>
      </x:c>
      <x:c r="F108" s="91" t="str">
        <x:v>工作日周二</x:v>
      </x:c>
      <x:c r="G108" s="91" t="str">
        <x:v>雨天</x:v>
      </x:c>
      <x:c r="H108" s="91" t="str">
        <x:v>无</x:v>
      </x:c>
      <x:c r="I108" s="108" t="n">
        <x:v>24</x:v>
      </x:c>
      <x:c r="J108" s="108" t="n">
        <x:v>27</x:v>
      </x:c>
      <x:c r="K108" s="108" t="n">
        <x:v>27</x:v>
      </x:c>
      <x:c r="L108" s="108" t="n">
        <x:v>27</x:v>
      </x:c>
      <x:c r="M108" s="108" t="str">
        <x:v>沿用建议</x:v>
      </x:c>
      <x:c r="N108" s="108" t="n">
        <x:v>24</x:v>
      </x:c>
      <x:c r="O108" s="108" t="n">
        <x:v>37</x:v>
      </x:c>
      <x:c r="P108" s="108" t="n">
        <x:v>1</x:v>
      </x:c>
      <x:c r="Q108" s="91" t="str">
        <x:v>否</x:v>
      </x:c>
      <x:c r="R108" s="91" t="n">
        <x:v>1</x:v>
      </x:c>
      <x:c r="S108" s="91" t="str">
        <x:v>无</x:v>
      </x:c>
      <x:c r="T108" s="91" t="str">
        <x:v>模拟正常样本</x:v>
      </x:c>
      <x:c r="U108" s="91" t="n">
        <x:f>ABS(L108-N108)</x:f>
        <x:v>3</x:v>
      </x:c>
      <x:c r="V108" s="91" t="str">
        <x:f>IF(L108=K108,"沿用建议","人工调整")</x:f>
        <x:v>沿用建议</x:v>
      </x:c>
      <x:c r="W108" s="92" t="str">
        <x:f>IF(Q108="是","售罄风险",IF(P108&gt;3,"损耗风险","正常"))</x:f>
        <x:v>正常</x:v>
      </x:c>
    </x:row>
    <x:row r="109" ht="20" customHeight="1">
      <x:c r="A109" s="105" t="n">
        <x:v>46196</x:v>
      </x:c>
      <x:c r="B109" s="91" t="str">
        <x:v>模拟店 C（社区门店）</x:v>
      </x:c>
      <x:c r="C109" s="91" t="str">
        <x:v>成长期</x:v>
      </x:c>
      <x:c r="D109" s="91" t="str">
        <x:v>筒骨煨藕汤</x:v>
      </x:c>
      <x:c r="E109" s="91" t="str">
        <x:v>晚市</x:v>
      </x:c>
      <x:c r="F109" s="91" t="str">
        <x:v>工作日周二</x:v>
      </x:c>
      <x:c r="G109" s="91" t="str">
        <x:v>常温</x:v>
      </x:c>
      <x:c r="H109" s="91" t="str">
        <x:v>无</x:v>
      </x:c>
      <x:c r="I109" s="108" t="n">
        <x:v>58</x:v>
      </x:c>
      <x:c r="J109" s="108" t="n">
        <x:v>65</x:v>
      </x:c>
      <x:c r="K109" s="108" t="n">
        <x:v>65</x:v>
      </x:c>
      <x:c r="L109" s="108" t="n">
        <x:v>65</x:v>
      </x:c>
      <x:c r="M109" s="108" t="str">
        <x:v>沿用建议</x:v>
      </x:c>
      <x:c r="N109" s="108" t="n">
        <x:v>54</x:v>
      </x:c>
      <x:c r="O109" s="108" t="n">
        <x:v>80</x:v>
      </x:c>
      <x:c r="P109" s="108" t="n">
        <x:v>9</x:v>
      </x:c>
      <x:c r="Q109" s="91" t="str">
        <x:v>否</x:v>
      </x:c>
      <x:c r="R109" s="91" t="n">
        <x:v>0</x:v>
      </x:c>
      <x:c r="S109" s="91" t="str">
        <x:v>无</x:v>
      </x:c>
      <x:c r="T109" s="91" t="str">
        <x:v>模拟正常样本</x:v>
      </x:c>
      <x:c r="U109" s="91" t="n">
        <x:f>ABS(L109-N109)</x:f>
        <x:v>11</x:v>
      </x:c>
      <x:c r="V109" s="91" t="str">
        <x:f>IF(L109=K109,"沿用建议","人工调整")</x:f>
        <x:v>沿用建议</x:v>
      </x:c>
      <x:c r="W109" s="92" t="str">
        <x:f>IF(Q109="是","售罄风险",IF(P109&gt;3,"损耗风险","正常"))</x:f>
        <x:v>损耗风险</x:v>
      </x:c>
    </x:row>
    <x:row r="110" ht="20" customHeight="1">
      <x:c r="A110" s="105" t="n">
        <x:v>46196</x:v>
      </x:c>
      <x:c r="B110" s="91" t="str">
        <x:v>模拟店 C（社区门店）</x:v>
      </x:c>
      <x:c r="C110" s="91" t="str">
        <x:v>成长期</x:v>
      </x:c>
      <x:c r="D110" s="91" t="str">
        <x:v>粉蒸排骨</x:v>
      </x:c>
      <x:c r="E110" s="91" t="str">
        <x:v>晚市</x:v>
      </x:c>
      <x:c r="F110" s="91" t="str">
        <x:v>工作日周二</x:v>
      </x:c>
      <x:c r="G110" s="91" t="str">
        <x:v>常温</x:v>
      </x:c>
      <x:c r="H110" s="91" t="str">
        <x:v>无</x:v>
      </x:c>
      <x:c r="I110" s="108" t="n">
        <x:v>35</x:v>
      </x:c>
      <x:c r="J110" s="108" t="n">
        <x:v>39</x:v>
      </x:c>
      <x:c r="K110" s="108" t="n">
        <x:v>39</x:v>
      </x:c>
      <x:c r="L110" s="108" t="n">
        <x:v>39</x:v>
      </x:c>
      <x:c r="M110" s="108" t="str">
        <x:v>沿用建议</x:v>
      </x:c>
      <x:c r="N110" s="108" t="n">
        <x:v>34</x:v>
      </x:c>
      <x:c r="O110" s="108" t="n">
        <x:v>49</x:v>
      </x:c>
      <x:c r="P110" s="108" t="n">
        <x:v>3</x:v>
      </x:c>
      <x:c r="Q110" s="91" t="str">
        <x:v>否</x:v>
      </x:c>
      <x:c r="R110" s="91" t="n">
        <x:v>1</x:v>
      </x:c>
      <x:c r="S110" s="91" t="str">
        <x:v>无</x:v>
      </x:c>
      <x:c r="T110" s="91" t="str">
        <x:v>模拟正常样本</x:v>
      </x:c>
      <x:c r="U110" s="91" t="n">
        <x:f>ABS(L110-N110)</x:f>
        <x:v>5</x:v>
      </x:c>
      <x:c r="V110" s="91" t="str">
        <x:f>IF(L110=K110,"沿用建议","人工调整")</x:f>
        <x:v>沿用建议</x:v>
      </x:c>
      <x:c r="W110" s="92" t="str">
        <x:f>IF(Q110="是","售罄风险",IF(P110&gt;3,"损耗风险","正常"))</x:f>
        <x:v>正常</x:v>
      </x:c>
    </x:row>
    <x:row r="111" ht="20" customHeight="1">
      <x:c r="A111" s="105" t="n">
        <x:v>46196</x:v>
      </x:c>
      <x:c r="B111" s="91" t="str">
        <x:v>模拟店 C（社区门店）</x:v>
      </x:c>
      <x:c r="C111" s="91" t="str">
        <x:v>成长期</x:v>
      </x:c>
      <x:c r="D111" s="91" t="str">
        <x:v>桂花糖藕</x:v>
      </x:c>
      <x:c r="E111" s="91" t="str">
        <x:v>晚市</x:v>
      </x:c>
      <x:c r="F111" s="91" t="str">
        <x:v>工作日周二</x:v>
      </x:c>
      <x:c r="G111" s="91" t="str">
        <x:v>常温</x:v>
      </x:c>
      <x:c r="H111" s="91" t="str">
        <x:v>无</x:v>
      </x:c>
      <x:c r="I111" s="108" t="n">
        <x:v>23</x:v>
      </x:c>
      <x:c r="J111" s="108" t="n">
        <x:v>27</x:v>
      </x:c>
      <x:c r="K111" s="108" t="n">
        <x:v>27</x:v>
      </x:c>
      <x:c r="L111" s="108" t="n">
        <x:v>27</x:v>
      </x:c>
      <x:c r="M111" s="108" t="str">
        <x:v>沿用建议</x:v>
      </x:c>
      <x:c r="N111" s="108" t="n">
        <x:v>23</x:v>
      </x:c>
      <x:c r="O111" s="108" t="n">
        <x:v>36</x:v>
      </x:c>
      <x:c r="P111" s="108" t="n">
        <x:v>3</x:v>
      </x:c>
      <x:c r="Q111" s="91" t="str">
        <x:v>否</x:v>
      </x:c>
      <x:c r="R111" s="91" t="n">
        <x:v>1</x:v>
      </x:c>
      <x:c r="S111" s="91" t="str">
        <x:v>无</x:v>
      </x:c>
      <x:c r="T111" s="91" t="str">
        <x:v>模拟正常样本</x:v>
      </x:c>
      <x:c r="U111" s="91" t="n">
        <x:f>ABS(L111-N111)</x:f>
        <x:v>4</x:v>
      </x:c>
      <x:c r="V111" s="91" t="str">
        <x:f>IF(L111=K111,"沿用建议","人工调整")</x:f>
        <x:v>沿用建议</x:v>
      </x:c>
      <x:c r="W111" s="92" t="str">
        <x:f>IF(Q111="是","售罄风险",IF(P111&gt;3,"损耗风险","正常"))</x:f>
        <x:v>正常</x:v>
      </x:c>
    </x:row>
    <x:row r="112" ht="20" customHeight="1">
      <x:c r="A112" s="105" t="n">
        <x:v>46196</x:v>
      </x:c>
      <x:c r="B112" s="91" t="str">
        <x:v>模拟店 C（社区门店）</x:v>
      </x:c>
      <x:c r="C112" s="91" t="str">
        <x:v>成长期</x:v>
      </x:c>
      <x:c r="D112" s="91" t="str">
        <x:v>藕夹</x:v>
      </x:c>
      <x:c r="E112" s="91" t="str">
        <x:v>晚市</x:v>
      </x:c>
      <x:c r="F112" s="91" t="str">
        <x:v>工作日周二</x:v>
      </x:c>
      <x:c r="G112" s="91" t="str">
        <x:v>常温</x:v>
      </x:c>
      <x:c r="H112" s="91" t="str">
        <x:v>无</x:v>
      </x:c>
      <x:c r="I112" s="108" t="n">
        <x:v>28</x:v>
      </x:c>
      <x:c r="J112" s="108" t="n">
        <x:v>32</x:v>
      </x:c>
      <x:c r="K112" s="108" t="n">
        <x:v>32</x:v>
      </x:c>
      <x:c r="L112" s="108" t="n">
        <x:v>32</x:v>
      </x:c>
      <x:c r="M112" s="108" t="str">
        <x:v>沿用建议</x:v>
      </x:c>
      <x:c r="N112" s="108" t="n">
        <x:v>27</x:v>
      </x:c>
      <x:c r="O112" s="108" t="n">
        <x:v>40</x:v>
      </x:c>
      <x:c r="P112" s="108" t="n">
        <x:v>3</x:v>
      </x:c>
      <x:c r="Q112" s="91" t="str">
        <x:v>否</x:v>
      </x:c>
      <x:c r="R112" s="91" t="n">
        <x:v>2</x:v>
      </x:c>
      <x:c r="S112" s="91" t="str">
        <x:v>无</x:v>
      </x:c>
      <x:c r="T112" s="91" t="str">
        <x:v>模拟正常样本</x:v>
      </x:c>
      <x:c r="U112" s="91" t="n">
        <x:f>ABS(L112-N112)</x:f>
        <x:v>5</x:v>
      </x:c>
      <x:c r="V112" s="91" t="str">
        <x:f>IF(L112=K112,"沿用建议","人工调整")</x:f>
        <x:v>沿用建议</x:v>
      </x:c>
      <x:c r="W112" s="92" t="str">
        <x:f>IF(Q112="是","售罄风险",IF(P112&gt;3,"损耗风险","正常"))</x:f>
        <x:v>正常</x:v>
      </x:c>
    </x:row>
    <x:row r="113" ht="20" customHeight="1">
      <x:c r="A113" s="105" t="n">
        <x:v>46197</x:v>
      </x:c>
      <x:c r="B113" s="91" t="str">
        <x:v>模拟店 A（成熟商圈）</x:v>
      </x:c>
      <x:c r="C113" s="91" t="str">
        <x:v>成熟店</x:v>
      </x:c>
      <x:c r="D113" s="91" t="str">
        <x:v>筒骨煨藕汤</x:v>
      </x:c>
      <x:c r="E113" s="91" t="str">
        <x:v>晚市</x:v>
      </x:c>
      <x:c r="F113" s="91" t="str">
        <x:v>工作日周三</x:v>
      </x:c>
      <x:c r="G113" s="91" t="str">
        <x:v>雨天</x:v>
      </x:c>
      <x:c r="H113" s="91" t="str">
        <x:v>团餐线索</x:v>
      </x:c>
      <x:c r="I113" s="108" t="n">
        <x:v>76</x:v>
      </x:c>
      <x:c r="J113" s="108" t="n">
        <x:v>85</x:v>
      </x:c>
      <x:c r="K113" s="108" t="n">
        <x:v>85</x:v>
      </x:c>
      <x:c r="L113" s="108" t="n">
        <x:v>88</x:v>
      </x:c>
      <x:c r="M113" s="108" t="str">
        <x:v>团餐尚未确认</x:v>
      </x:c>
      <x:c r="N113" s="108" t="n">
        <x:v>83</x:v>
      </x:c>
      <x:c r="O113" s="108" t="n">
        <x:v>99</x:v>
      </x:c>
      <x:c r="P113" s="108" t="n">
        <x:v>3</x:v>
      </x:c>
      <x:c r="Q113" s="91" t="str">
        <x:v>否</x:v>
      </x:c>
      <x:c r="R113" s="91" t="n">
        <x:v>1</x:v>
      </x:c>
      <x:c r="S113" s="91" t="str">
        <x:v>无</x:v>
      </x:c>
      <x:c r="T113" s="91" t="str">
        <x:v>模拟正常样本</x:v>
      </x:c>
      <x:c r="U113" s="91" t="n">
        <x:f>ABS(L113-N113)</x:f>
        <x:v>5</x:v>
      </x:c>
      <x:c r="V113" s="91" t="str">
        <x:f>IF(L113=K113,"沿用建议","人工调整")</x:f>
        <x:v>人工调整</x:v>
      </x:c>
      <x:c r="W113" s="92" t="str">
        <x:f>IF(Q113="是","售罄风险",IF(P113&gt;3,"损耗风险","正常"))</x:f>
        <x:v>正常</x:v>
      </x:c>
    </x:row>
    <x:row r="114" ht="20" customHeight="1">
      <x:c r="A114" s="105" t="n">
        <x:v>46197</x:v>
      </x:c>
      <x:c r="B114" s="91" t="str">
        <x:v>模拟店 A（成熟商圈）</x:v>
      </x:c>
      <x:c r="C114" s="91" t="str">
        <x:v>成熟店</x:v>
      </x:c>
      <x:c r="D114" s="91" t="str">
        <x:v>粉蒸排骨</x:v>
      </x:c>
      <x:c r="E114" s="91" t="str">
        <x:v>晚市</x:v>
      </x:c>
      <x:c r="F114" s="91" t="str">
        <x:v>工作日周三</x:v>
      </x:c>
      <x:c r="G114" s="91" t="str">
        <x:v>雨天</x:v>
      </x:c>
      <x:c r="H114" s="91" t="str">
        <x:v>团餐线索</x:v>
      </x:c>
      <x:c r="I114" s="108" t="n">
        <x:v>42</x:v>
      </x:c>
      <x:c r="J114" s="108" t="n">
        <x:v>46</x:v>
      </x:c>
      <x:c r="K114" s="108" t="n">
        <x:v>46</x:v>
      </x:c>
      <x:c r="L114" s="108" t="n">
        <x:v>46</x:v>
      </x:c>
      <x:c r="M114" s="108" t="str">
        <x:v>沿用建议</x:v>
      </x:c>
      <x:c r="N114" s="108" t="n">
        <x:v>42</x:v>
      </x:c>
      <x:c r="O114" s="108" t="n">
        <x:v>55</x:v>
      </x:c>
      <x:c r="P114" s="108" t="n">
        <x:v>2</x:v>
      </x:c>
      <x:c r="Q114" s="91" t="str">
        <x:v>否</x:v>
      </x:c>
      <x:c r="R114" s="91" t="n">
        <x:v>1</x:v>
      </x:c>
      <x:c r="S114" s="91" t="str">
        <x:v>无</x:v>
      </x:c>
      <x:c r="T114" s="91" t="str">
        <x:v>模拟正常样本</x:v>
      </x:c>
      <x:c r="U114" s="91" t="n">
        <x:f>ABS(L114-N114)</x:f>
        <x:v>4</x:v>
      </x:c>
      <x:c r="V114" s="91" t="str">
        <x:f>IF(L114=K114,"沿用建议","人工调整")</x:f>
        <x:v>沿用建议</x:v>
      </x:c>
      <x:c r="W114" s="92" t="str">
        <x:f>IF(Q114="是","售罄风险",IF(P114&gt;3,"损耗风险","正常"))</x:f>
        <x:v>正常</x:v>
      </x:c>
    </x:row>
    <x:row r="115" ht="20" customHeight="1">
      <x:c r="A115" s="105" t="n">
        <x:v>46197</x:v>
      </x:c>
      <x:c r="B115" s="91" t="str">
        <x:v>模拟店 A（成熟商圈）</x:v>
      </x:c>
      <x:c r="C115" s="91" t="str">
        <x:v>成熟店</x:v>
      </x:c>
      <x:c r="D115" s="91" t="str">
        <x:v>桂花糖藕</x:v>
      </x:c>
      <x:c r="E115" s="91" t="str">
        <x:v>晚市</x:v>
      </x:c>
      <x:c r="F115" s="91" t="str">
        <x:v>工作日周三</x:v>
      </x:c>
      <x:c r="G115" s="91" t="str">
        <x:v>雨天</x:v>
      </x:c>
      <x:c r="H115" s="91" t="str">
        <x:v>团餐线索</x:v>
      </x:c>
      <x:c r="I115" s="108" t="n">
        <x:v>28</x:v>
      </x:c>
      <x:c r="J115" s="108" t="n">
        <x:v>32</x:v>
      </x:c>
      <x:c r="K115" s="108" t="n">
        <x:v>32</x:v>
      </x:c>
      <x:c r="L115" s="108" t="n">
        <x:v>32</x:v>
      </x:c>
      <x:c r="M115" s="108" t="str">
        <x:v>沿用建议</x:v>
      </x:c>
      <x:c r="N115" s="108" t="n">
        <x:v>31</x:v>
      </x:c>
      <x:c r="O115" s="108" t="n">
        <x:v>44</x:v>
      </x:c>
      <x:c r="P115" s="108" t="n">
        <x:v>0</x:v>
      </x:c>
      <x:c r="Q115" s="91" t="str">
        <x:v>否</x:v>
      </x:c>
      <x:c r="R115" s="91" t="n">
        <x:v>1</x:v>
      </x:c>
      <x:c r="S115" s="91" t="str">
        <x:v>无</x:v>
      </x:c>
      <x:c r="T115" s="91" t="str">
        <x:v>模拟正常样本</x:v>
      </x:c>
      <x:c r="U115" s="91" t="n">
        <x:f>ABS(L115-N115)</x:f>
        <x:v>1</x:v>
      </x:c>
      <x:c r="V115" s="91" t="str">
        <x:f>IF(L115=K115,"沿用建议","人工调整")</x:f>
        <x:v>沿用建议</x:v>
      </x:c>
      <x:c r="W115" s="92" t="str">
        <x:f>IF(Q115="是","售罄风险",IF(P115&gt;3,"损耗风险","正常"))</x:f>
        <x:v>正常</x:v>
      </x:c>
    </x:row>
    <x:row r="116" ht="20" customHeight="1">
      <x:c r="A116" s="105" t="n">
        <x:v>46197</x:v>
      </x:c>
      <x:c r="B116" s="91" t="str">
        <x:v>模拟店 A（成熟商圈）</x:v>
      </x:c>
      <x:c r="C116" s="91" t="str">
        <x:v>成熟店</x:v>
      </x:c>
      <x:c r="D116" s="91" t="str">
        <x:v>藕夹</x:v>
      </x:c>
      <x:c r="E116" s="91" t="str">
        <x:v>晚市</x:v>
      </x:c>
      <x:c r="F116" s="91" t="str">
        <x:v>工作日周三</x:v>
      </x:c>
      <x:c r="G116" s="91" t="str">
        <x:v>雨天</x:v>
      </x:c>
      <x:c r="H116" s="91" t="str">
        <x:v>团餐线索</x:v>
      </x:c>
      <x:c r="I116" s="108" t="n">
        <x:v>35</x:v>
      </x:c>
      <x:c r="J116" s="108" t="n">
        <x:v>39</x:v>
      </x:c>
      <x:c r="K116" s="108" t="n">
        <x:v>39</x:v>
      </x:c>
      <x:c r="L116" s="108" t="n">
        <x:v>39</x:v>
      </x:c>
      <x:c r="M116" s="108" t="str">
        <x:v>沿用建议</x:v>
      </x:c>
      <x:c r="N116" s="108" t="n">
        <x:v>36</x:v>
      </x:c>
      <x:c r="O116" s="108" t="n">
        <x:v>53</x:v>
      </x:c>
      <x:c r="P116" s="108" t="n">
        <x:v>1</x:v>
      </x:c>
      <x:c r="Q116" s="91" t="str">
        <x:v>否</x:v>
      </x:c>
      <x:c r="R116" s="91" t="n">
        <x:v>1</x:v>
      </x:c>
      <x:c r="S116" s="91" t="str">
        <x:v>无</x:v>
      </x:c>
      <x:c r="T116" s="91" t="str">
        <x:v>模拟正常样本</x:v>
      </x:c>
      <x:c r="U116" s="91" t="n">
        <x:f>ABS(L116-N116)</x:f>
        <x:v>3</x:v>
      </x:c>
      <x:c r="V116" s="91" t="str">
        <x:f>IF(L116=K116,"沿用建议","人工调整")</x:f>
        <x:v>沿用建议</x:v>
      </x:c>
      <x:c r="W116" s="92" t="str">
        <x:f>IF(Q116="是","售罄风险",IF(P116&gt;3,"损耗风险","正常"))</x:f>
        <x:v>正常</x:v>
      </x:c>
    </x:row>
    <x:row r="117" ht="20" customHeight="1">
      <x:c r="A117" s="105" t="n">
        <x:v>46197</x:v>
      </x:c>
      <x:c r="B117" s="91" t="str">
        <x:v>模拟店 B（新开门店）</x:v>
      </x:c>
      <x:c r="C117" s="91" t="str">
        <x:v>新店</x:v>
      </x:c>
      <x:c r="D117" s="91" t="str">
        <x:v>筒骨煨藕汤</x:v>
      </x:c>
      <x:c r="E117" s="91" t="str">
        <x:v>晚市</x:v>
      </x:c>
      <x:c r="F117" s="91" t="str">
        <x:v>工作日周三</x:v>
      </x:c>
      <x:c r="G117" s="91" t="str">
        <x:v>常温</x:v>
      </x:c>
      <x:c r="H117" s="91" t="str">
        <x:v>团餐线索</x:v>
      </x:c>
      <x:c r="I117" s="108" t="n">
        <x:v>57</x:v>
      </x:c>
      <x:c r="J117" s="108" t="n">
        <x:v>64</x:v>
      </x:c>
      <x:c r="K117" s="108" t="n">
        <x:v>64</x:v>
      </x:c>
      <x:c r="L117" s="108" t="n">
        <x:v>67</x:v>
      </x:c>
      <x:c r="M117" s="108" t="str">
        <x:v>团餐尚未确认</x:v>
      </x:c>
      <x:c r="N117" s="108" t="n">
        <x:v>55</x:v>
      </x:c>
      <x:c r="O117" s="108" t="n">
        <x:v>79</x:v>
      </x:c>
      <x:c r="P117" s="108" t="n">
        <x:v>10</x:v>
      </x:c>
      <x:c r="Q117" s="91" t="str">
        <x:v>否</x:v>
      </x:c>
      <x:c r="R117" s="91" t="n">
        <x:v>1</x:v>
      </x:c>
      <x:c r="S117" s="91" t="str">
        <x:v>无</x:v>
      </x:c>
      <x:c r="T117" s="91" t="str">
        <x:v>模拟正常样本</x:v>
      </x:c>
      <x:c r="U117" s="91" t="n">
        <x:f>ABS(L117-N117)</x:f>
        <x:v>12</x:v>
      </x:c>
      <x:c r="V117" s="91" t="str">
        <x:f>IF(L117=K117,"沿用建议","人工调整")</x:f>
        <x:v>人工调整</x:v>
      </x:c>
      <x:c r="W117" s="92" t="str">
        <x:f>IF(Q117="是","售罄风险",IF(P117&gt;3,"损耗风险","正常"))</x:f>
        <x:v>损耗风险</x:v>
      </x:c>
    </x:row>
    <x:row r="118" ht="20" customHeight="1">
      <x:c r="A118" s="105" t="n">
        <x:v>46197</x:v>
      </x:c>
      <x:c r="B118" s="91" t="str">
        <x:v>模拟店 B（新开门店）</x:v>
      </x:c>
      <x:c r="C118" s="91" t="str">
        <x:v>新店</x:v>
      </x:c>
      <x:c r="D118" s="91" t="str">
        <x:v>粉蒸排骨</x:v>
      </x:c>
      <x:c r="E118" s="91" t="str">
        <x:v>晚市</x:v>
      </x:c>
      <x:c r="F118" s="91" t="str">
        <x:v>工作日周三</x:v>
      </x:c>
      <x:c r="G118" s="91" t="str">
        <x:v>常温</x:v>
      </x:c>
      <x:c r="H118" s="91" t="str">
        <x:v>团餐线索</x:v>
      </x:c>
      <x:c r="I118" s="108" t="n">
        <x:v>33</x:v>
      </x:c>
      <x:c r="J118" s="108" t="n">
        <x:v>37</x:v>
      </x:c>
      <x:c r="K118" s="108" t="n">
        <x:v>37</x:v>
      </x:c>
      <x:c r="L118" s="108" t="n">
        <x:v>37</x:v>
      </x:c>
      <x:c r="M118" s="108" t="str">
        <x:v>沿用建议</x:v>
      </x:c>
      <x:c r="N118" s="108" t="n">
        <x:v>34</x:v>
      </x:c>
      <x:c r="O118" s="108" t="n">
        <x:v>46</x:v>
      </x:c>
      <x:c r="P118" s="108" t="n">
        <x:v>1</x:v>
      </x:c>
      <x:c r="Q118" s="91" t="str">
        <x:v>否</x:v>
      </x:c>
      <x:c r="R118" s="91" t="n">
        <x:v>2</x:v>
      </x:c>
      <x:c r="S118" s="91" t="str">
        <x:v>无</x:v>
      </x:c>
      <x:c r="T118" s="91" t="str">
        <x:v>模拟正常样本</x:v>
      </x:c>
      <x:c r="U118" s="91" t="n">
        <x:f>ABS(L118-N118)</x:f>
        <x:v>3</x:v>
      </x:c>
      <x:c r="V118" s="91" t="str">
        <x:f>IF(L118=K118,"沿用建议","人工调整")</x:f>
        <x:v>沿用建议</x:v>
      </x:c>
      <x:c r="W118" s="92" t="str">
        <x:f>IF(Q118="是","售罄风险",IF(P118&gt;3,"损耗风险","正常"))</x:f>
        <x:v>正常</x:v>
      </x:c>
    </x:row>
    <x:row r="119" ht="20" customHeight="1">
      <x:c r="A119" s="105" t="n">
        <x:v>46197</x:v>
      </x:c>
      <x:c r="B119" s="91" t="str">
        <x:v>模拟店 B（新开门店）</x:v>
      </x:c>
      <x:c r="C119" s="91" t="str">
        <x:v>新店</x:v>
      </x:c>
      <x:c r="D119" s="91" t="str">
        <x:v>桂花糖藕</x:v>
      </x:c>
      <x:c r="E119" s="91" t="str">
        <x:v>晚市</x:v>
      </x:c>
      <x:c r="F119" s="91" t="str">
        <x:v>工作日周三</x:v>
      </x:c>
      <x:c r="G119" s="91" t="str">
        <x:v>常温</x:v>
      </x:c>
      <x:c r="H119" s="91" t="str">
        <x:v>团餐线索</x:v>
      </x:c>
      <x:c r="I119" s="108" t="n">
        <x:v>23</x:v>
      </x:c>
      <x:c r="J119" s="108" t="n">
        <x:v>27</x:v>
      </x:c>
      <x:c r="K119" s="108" t="n">
        <x:v>27</x:v>
      </x:c>
      <x:c r="L119" s="108" t="n">
        <x:v>30</x:v>
      </x:c>
      <x:c r="M119" s="108" t="str">
        <x:v>团餐尚未确认</x:v>
      </x:c>
      <x:c r="N119" s="108" t="n">
        <x:v>25</x:v>
      </x:c>
      <x:c r="O119" s="108" t="n">
        <x:v>41</x:v>
      </x:c>
      <x:c r="P119" s="108" t="n">
        <x:v>4</x:v>
      </x:c>
      <x:c r="Q119" s="91" t="str">
        <x:v>否</x:v>
      </x:c>
      <x:c r="R119" s="91" t="n">
        <x:v>1</x:v>
      </x:c>
      <x:c r="S119" s="91" t="str">
        <x:v>无</x:v>
      </x:c>
      <x:c r="T119" s="91" t="str">
        <x:v>模拟正常样本</x:v>
      </x:c>
      <x:c r="U119" s="91" t="n">
        <x:f>ABS(L119-N119)</x:f>
        <x:v>5</x:v>
      </x:c>
      <x:c r="V119" s="91" t="str">
        <x:f>IF(L119=K119,"沿用建议","人工调整")</x:f>
        <x:v>人工调整</x:v>
      </x:c>
      <x:c r="W119" s="92" t="str">
        <x:f>IF(Q119="是","售罄风险",IF(P119&gt;3,"损耗风险","正常"))</x:f>
        <x:v>损耗风险</x:v>
      </x:c>
    </x:row>
    <x:row r="120" ht="20" customHeight="1">
      <x:c r="A120" s="105" t="n">
        <x:v>46197</x:v>
      </x:c>
      <x:c r="B120" s="91" t="str">
        <x:v>模拟店 B（新开门店）</x:v>
      </x:c>
      <x:c r="C120" s="91" t="str">
        <x:v>新店</x:v>
      </x:c>
      <x:c r="D120" s="91" t="str">
        <x:v>藕夹</x:v>
      </x:c>
      <x:c r="E120" s="91" t="str">
        <x:v>晚市</x:v>
      </x:c>
      <x:c r="F120" s="91" t="str">
        <x:v>工作日周三</x:v>
      </x:c>
      <x:c r="G120" s="91" t="str">
        <x:v>常温</x:v>
      </x:c>
      <x:c r="H120" s="91" t="str">
        <x:v>团餐线索</x:v>
      </x:c>
      <x:c r="I120" s="108" t="n">
        <x:v>26</x:v>
      </x:c>
      <x:c r="J120" s="108" t="n">
        <x:v>30</x:v>
      </x:c>
      <x:c r="K120" s="108" t="n">
        <x:v>30</x:v>
      </x:c>
      <x:c r="L120" s="108" t="n">
        <x:v>30</x:v>
      </x:c>
      <x:c r="M120" s="108" t="str">
        <x:v>沿用建议</x:v>
      </x:c>
      <x:c r="N120" s="108" t="n">
        <x:v>28</x:v>
      </x:c>
      <x:c r="O120" s="108" t="n">
        <x:v>38</x:v>
      </x:c>
      <x:c r="P120" s="108" t="n">
        <x:v>0</x:v>
      </x:c>
      <x:c r="Q120" s="91" t="str">
        <x:v>否</x:v>
      </x:c>
      <x:c r="R120" s="91" t="n">
        <x:v>1</x:v>
      </x:c>
      <x:c r="S120" s="91" t="str">
        <x:v>无</x:v>
      </x:c>
      <x:c r="T120" s="91" t="str">
        <x:v>模拟正常样本</x:v>
      </x:c>
      <x:c r="U120" s="91" t="n">
        <x:f>ABS(L120-N120)</x:f>
        <x:v>2</x:v>
      </x:c>
      <x:c r="V120" s="91" t="str">
        <x:f>IF(L120=K120,"沿用建议","人工调整")</x:f>
        <x:v>沿用建议</x:v>
      </x:c>
      <x:c r="W120" s="92" t="str">
        <x:f>IF(Q120="是","售罄风险",IF(P120&gt;3,"损耗风险","正常"))</x:f>
        <x:v>正常</x:v>
      </x:c>
    </x:row>
    <x:row r="121" ht="20" customHeight="1">
      <x:c r="A121" s="105" t="n">
        <x:v>46197</x:v>
      </x:c>
      <x:c r="B121" s="91" t="str">
        <x:v>模拟店 C（社区门店）</x:v>
      </x:c>
      <x:c r="C121" s="91" t="str">
        <x:v>成长期</x:v>
      </x:c>
      <x:c r="D121" s="91" t="str">
        <x:v>筒骨煨藕汤</x:v>
      </x:c>
      <x:c r="E121" s="91" t="str">
        <x:v>晚市</x:v>
      </x:c>
      <x:c r="F121" s="91" t="str">
        <x:v>工作日周三</x:v>
      </x:c>
      <x:c r="G121" s="91" t="str">
        <x:v>高温</x:v>
      </x:c>
      <x:c r="H121" s="91" t="str">
        <x:v>团餐线索</x:v>
      </x:c>
      <x:c r="I121" s="108" t="n">
        <x:v>57</x:v>
      </x:c>
      <x:c r="J121" s="108" t="n">
        <x:v>64</x:v>
      </x:c>
      <x:c r="K121" s="108" t="n">
        <x:v>64</x:v>
      </x:c>
      <x:c r="L121" s="108" t="n">
        <x:v>67</x:v>
      </x:c>
      <x:c r="M121" s="108" t="str">
        <x:v>团餐尚未确认</x:v>
      </x:c>
      <x:c r="N121" s="108" t="n">
        <x:v>56</x:v>
      </x:c>
      <x:c r="O121" s="108" t="n">
        <x:v>72</x:v>
      </x:c>
      <x:c r="P121" s="108" t="n">
        <x:v>9</x:v>
      </x:c>
      <x:c r="Q121" s="91" t="str">
        <x:v>否</x:v>
      </x:c>
      <x:c r="R121" s="91" t="n">
        <x:v>2</x:v>
      </x:c>
      <x:c r="S121" s="91" t="str">
        <x:v>无</x:v>
      </x:c>
      <x:c r="T121" s="91" t="str">
        <x:v>模拟正常样本</x:v>
      </x:c>
      <x:c r="U121" s="91" t="n">
        <x:f>ABS(L121-N121)</x:f>
        <x:v>11</x:v>
      </x:c>
      <x:c r="V121" s="91" t="str">
        <x:f>IF(L121=K121,"沿用建议","人工调整")</x:f>
        <x:v>人工调整</x:v>
      </x:c>
      <x:c r="W121" s="92" t="str">
        <x:f>IF(Q121="是","售罄风险",IF(P121&gt;3,"损耗风险","正常"))</x:f>
        <x:v>损耗风险</x:v>
      </x:c>
    </x:row>
    <x:row r="122" ht="20" customHeight="1">
      <x:c r="A122" s="105" t="n">
        <x:v>46197</x:v>
      </x:c>
      <x:c r="B122" s="91" t="str">
        <x:v>模拟店 C（社区门店）</x:v>
      </x:c>
      <x:c r="C122" s="91" t="str">
        <x:v>成长期</x:v>
      </x:c>
      <x:c r="D122" s="91" t="str">
        <x:v>粉蒸排骨</x:v>
      </x:c>
      <x:c r="E122" s="91" t="str">
        <x:v>晚市</x:v>
      </x:c>
      <x:c r="F122" s="91" t="str">
        <x:v>工作日周三</x:v>
      </x:c>
      <x:c r="G122" s="91" t="str">
        <x:v>高温</x:v>
      </x:c>
      <x:c r="H122" s="91" t="str">
        <x:v>团餐线索</x:v>
      </x:c>
      <x:c r="I122" s="108" t="n">
        <x:v>39</x:v>
      </x:c>
      <x:c r="J122" s="108" t="n">
        <x:v>43</x:v>
      </x:c>
      <x:c r="K122" s="108" t="n">
        <x:v>43</x:v>
      </x:c>
      <x:c r="L122" s="108" t="n">
        <x:v>43</x:v>
      </x:c>
      <x:c r="M122" s="108" t="str">
        <x:v>沿用建议</x:v>
      </x:c>
      <x:c r="N122" s="108" t="n">
        <x:v>37</x:v>
      </x:c>
      <x:c r="O122" s="108" t="n">
        <x:v>54</x:v>
      </x:c>
      <x:c r="P122" s="108" t="n">
        <x:v>4</x:v>
      </x:c>
      <x:c r="Q122" s="91" t="str">
        <x:v>否</x:v>
      </x:c>
      <x:c r="R122" s="91" t="n">
        <x:v>1</x:v>
      </x:c>
      <x:c r="S122" s="91" t="str">
        <x:v>无</x:v>
      </x:c>
      <x:c r="T122" s="91" t="str">
        <x:v>模拟正常样本</x:v>
      </x:c>
      <x:c r="U122" s="91" t="n">
        <x:f>ABS(L122-N122)</x:f>
        <x:v>6</x:v>
      </x:c>
      <x:c r="V122" s="91" t="str">
        <x:f>IF(L122=K122,"沿用建议","人工调整")</x:f>
        <x:v>沿用建议</x:v>
      </x:c>
      <x:c r="W122" s="92" t="str">
        <x:f>IF(Q122="是","售罄风险",IF(P122&gt;3,"损耗风险","正常"))</x:f>
        <x:v>损耗风险</x:v>
      </x:c>
    </x:row>
    <x:row r="123" ht="20" customHeight="1">
      <x:c r="A123" s="105" t="n">
        <x:v>46197</x:v>
      </x:c>
      <x:c r="B123" s="91" t="str">
        <x:v>模拟店 C（社区门店）</x:v>
      </x:c>
      <x:c r="C123" s="91" t="str">
        <x:v>成长期</x:v>
      </x:c>
      <x:c r="D123" s="91" t="str">
        <x:v>桂花糖藕</x:v>
      </x:c>
      <x:c r="E123" s="91" t="str">
        <x:v>晚市</x:v>
      </x:c>
      <x:c r="F123" s="91" t="str">
        <x:v>工作日周三</x:v>
      </x:c>
      <x:c r="G123" s="91" t="str">
        <x:v>高温</x:v>
      </x:c>
      <x:c r="H123" s="91" t="str">
        <x:v>团餐线索</x:v>
      </x:c>
      <x:c r="I123" s="108" t="n">
        <x:v>26</x:v>
      </x:c>
      <x:c r="J123" s="108" t="n">
        <x:v>30</x:v>
      </x:c>
      <x:c r="K123" s="108" t="n">
        <x:v>30</x:v>
      </x:c>
      <x:c r="L123" s="108" t="n">
        <x:v>30</x:v>
      </x:c>
      <x:c r="M123" s="108" t="str">
        <x:v>沿用建议</x:v>
      </x:c>
      <x:c r="N123" s="108" t="n">
        <x:v>25</x:v>
      </x:c>
      <x:c r="O123" s="108" t="n">
        <x:v>41</x:v>
      </x:c>
      <x:c r="P123" s="108" t="n">
        <x:v>4</x:v>
      </x:c>
      <x:c r="Q123" s="91" t="str">
        <x:v>否</x:v>
      </x:c>
      <x:c r="R123" s="91" t="n">
        <x:v>0</x:v>
      </x:c>
      <x:c r="S123" s="91" t="str">
        <x:v>无</x:v>
      </x:c>
      <x:c r="T123" s="91" t="str">
        <x:v>模拟正常样本</x:v>
      </x:c>
      <x:c r="U123" s="91" t="n">
        <x:f>ABS(L123-N123)</x:f>
        <x:v>5</x:v>
      </x:c>
      <x:c r="V123" s="91" t="str">
        <x:f>IF(L123=K123,"沿用建议","人工调整")</x:f>
        <x:v>沿用建议</x:v>
      </x:c>
      <x:c r="W123" s="92" t="str">
        <x:f>IF(Q123="是","售罄风险",IF(P123&gt;3,"损耗风险","正常"))</x:f>
        <x:v>损耗风险</x:v>
      </x:c>
    </x:row>
    <x:row r="124" ht="20" customHeight="1">
      <x:c r="A124" s="105" t="n">
        <x:v>46197</x:v>
      </x:c>
      <x:c r="B124" s="91" t="str">
        <x:v>模拟店 C（社区门店）</x:v>
      </x:c>
      <x:c r="C124" s="91" t="str">
        <x:v>成长期</x:v>
      </x:c>
      <x:c r="D124" s="91" t="str">
        <x:v>藕夹</x:v>
      </x:c>
      <x:c r="E124" s="91" t="str">
        <x:v>晚市</x:v>
      </x:c>
      <x:c r="F124" s="91" t="str">
        <x:v>工作日周三</x:v>
      </x:c>
      <x:c r="G124" s="91" t="str">
        <x:v>高温</x:v>
      </x:c>
      <x:c r="H124" s="91" t="str">
        <x:v>团餐线索</x:v>
      </x:c>
      <x:c r="I124" s="108" t="n">
        <x:v>29</x:v>
      </x:c>
      <x:c r="J124" s="108" t="n">
        <x:v>33</x:v>
      </x:c>
      <x:c r="K124" s="108" t="n">
        <x:v>33</x:v>
      </x:c>
      <x:c r="L124" s="108" t="n">
        <x:v>33</x:v>
      </x:c>
      <x:c r="M124" s="108" t="str">
        <x:v>沿用建议</x:v>
      </x:c>
      <x:c r="N124" s="108" t="n">
        <x:v>28</x:v>
      </x:c>
      <x:c r="O124" s="108" t="n">
        <x:v>42</x:v>
      </x:c>
      <x:c r="P124" s="108" t="n">
        <x:v>3</x:v>
      </x:c>
      <x:c r="Q124" s="91" t="str">
        <x:v>否</x:v>
      </x:c>
      <x:c r="R124" s="91" t="n">
        <x:v>3</x:v>
      </x:c>
      <x:c r="S124" s="91" t="str">
        <x:v>无</x:v>
      </x:c>
      <x:c r="T124" s="91" t="str">
        <x:v>模拟正常样本</x:v>
      </x:c>
      <x:c r="U124" s="91" t="n">
        <x:f>ABS(L124-N124)</x:f>
        <x:v>5</x:v>
      </x:c>
      <x:c r="V124" s="91" t="str">
        <x:f>IF(L124=K124,"沿用建议","人工调整")</x:f>
        <x:v>沿用建议</x:v>
      </x:c>
      <x:c r="W124" s="92" t="str">
        <x:f>IF(Q124="是","售罄风险",IF(P124&gt;3,"损耗风险","正常"))</x:f>
        <x:v>正常</x:v>
      </x:c>
    </x:row>
    <x:row r="125" ht="20" customHeight="1">
      <x:c r="A125" s="105" t="n">
        <x:v>46198</x:v>
      </x:c>
      <x:c r="B125" s="91" t="str">
        <x:v>模拟店 A（成熟商圈）</x:v>
      </x:c>
      <x:c r="C125" s="91" t="str">
        <x:v>成熟店</x:v>
      </x:c>
      <x:c r="D125" s="91" t="str">
        <x:v>筒骨煨藕汤</x:v>
      </x:c>
      <x:c r="E125" s="91" t="str">
        <x:v>晚市</x:v>
      </x:c>
      <x:c r="F125" s="91" t="str">
        <x:v>工作日周四</x:v>
      </x:c>
      <x:c r="G125" s="91" t="str">
        <x:v>常温</x:v>
      </x:c>
      <x:c r="H125" s="91" t="str">
        <x:v>无</x:v>
      </x:c>
      <x:c r="I125" s="108" t="n">
        <x:v>69</x:v>
      </x:c>
      <x:c r="J125" s="108" t="n">
        <x:v>77</x:v>
      </x:c>
      <x:c r="K125" s="108" t="n">
        <x:v>77</x:v>
      </x:c>
      <x:c r="L125" s="108" t="n">
        <x:v>77</x:v>
      </x:c>
      <x:c r="M125" s="108" t="str">
        <x:v>沿用建议</x:v>
      </x:c>
      <x:c r="N125" s="108" t="n">
        <x:v>63</x:v>
      </x:c>
      <x:c r="O125" s="108" t="n">
        <x:v>86</x:v>
      </x:c>
      <x:c r="P125" s="108" t="n">
        <x:v>12</x:v>
      </x:c>
      <x:c r="Q125" s="91" t="str">
        <x:v>否</x:v>
      </x:c>
      <x:c r="R125" s="91" t="n">
        <x:v>3</x:v>
      </x:c>
      <x:c r="S125" s="91" t="str">
        <x:v>无</x:v>
      </x:c>
      <x:c r="T125" s="91" t="str">
        <x:v>模拟正常样本</x:v>
      </x:c>
      <x:c r="U125" s="91" t="n">
        <x:f>ABS(L125-N125)</x:f>
        <x:v>14</x:v>
      </x:c>
      <x:c r="V125" s="91" t="str">
        <x:f>IF(L125=K125,"沿用建议","人工调整")</x:f>
        <x:v>沿用建议</x:v>
      </x:c>
      <x:c r="W125" s="92" t="str">
        <x:f>IF(Q125="是","售罄风险",IF(P125&gt;3,"损耗风险","正常"))</x:f>
        <x:v>损耗风险</x:v>
      </x:c>
    </x:row>
    <x:row r="126" ht="20" customHeight="1">
      <x:c r="A126" s="105" t="n">
        <x:v>46198</x:v>
      </x:c>
      <x:c r="B126" s="91" t="str">
        <x:v>模拟店 A（成熟商圈）</x:v>
      </x:c>
      <x:c r="C126" s="91" t="str">
        <x:v>成熟店</x:v>
      </x:c>
      <x:c r="D126" s="91" t="str">
        <x:v>粉蒸排骨</x:v>
      </x:c>
      <x:c r="E126" s="91" t="str">
        <x:v>晚市</x:v>
      </x:c>
      <x:c r="F126" s="91" t="str">
        <x:v>工作日周四</x:v>
      </x:c>
      <x:c r="G126" s="91" t="str">
        <x:v>常温</x:v>
      </x:c>
      <x:c r="H126" s="91" t="str">
        <x:v>无</x:v>
      </x:c>
      <x:c r="I126" s="108" t="n">
        <x:v>42</x:v>
      </x:c>
      <x:c r="J126" s="108" t="n">
        <x:v>46</x:v>
      </x:c>
      <x:c r="K126" s="108" t="n">
        <x:v>46</x:v>
      </x:c>
      <x:c r="L126" s="108" t="n">
        <x:v>46</x:v>
      </x:c>
      <x:c r="M126" s="108" t="str">
        <x:v>沿用建议</x:v>
      </x:c>
      <x:c r="N126" s="108" t="n">
        <x:v>44</x:v>
      </x:c>
      <x:c r="O126" s="108" t="n">
        <x:v>53</x:v>
      </x:c>
      <x:c r="P126" s="108" t="n">
        <x:v>0</x:v>
      </x:c>
      <x:c r="Q126" s="91" t="str">
        <x:v>否</x:v>
      </x:c>
      <x:c r="R126" s="91" t="n">
        <x:v>2</x:v>
      </x:c>
      <x:c r="S126" s="91" t="str">
        <x:v>无</x:v>
      </x:c>
      <x:c r="T126" s="91" t="str">
        <x:v>模拟正常样本</x:v>
      </x:c>
      <x:c r="U126" s="91" t="n">
        <x:f>ABS(L126-N126)</x:f>
        <x:v>2</x:v>
      </x:c>
      <x:c r="V126" s="91" t="str">
        <x:f>IF(L126=K126,"沿用建议","人工调整")</x:f>
        <x:v>沿用建议</x:v>
      </x:c>
      <x:c r="W126" s="92" t="str">
        <x:f>IF(Q126="是","售罄风险",IF(P126&gt;3,"损耗风险","正常"))</x:f>
        <x:v>正常</x:v>
      </x:c>
    </x:row>
    <x:row r="127" ht="20" customHeight="1">
      <x:c r="A127" s="105" t="n">
        <x:v>46198</x:v>
      </x:c>
      <x:c r="B127" s="91" t="str">
        <x:v>模拟店 A（成熟商圈）</x:v>
      </x:c>
      <x:c r="C127" s="91" t="str">
        <x:v>成熟店</x:v>
      </x:c>
      <x:c r="D127" s="91" t="str">
        <x:v>桂花糖藕</x:v>
      </x:c>
      <x:c r="E127" s="91" t="str">
        <x:v>晚市</x:v>
      </x:c>
      <x:c r="F127" s="91" t="str">
        <x:v>工作日周四</x:v>
      </x:c>
      <x:c r="G127" s="91" t="str">
        <x:v>常温</x:v>
      </x:c>
      <x:c r="H127" s="91" t="str">
        <x:v>无</x:v>
      </x:c>
      <x:c r="I127" s="108" t="n">
        <x:v>29</x:v>
      </x:c>
      <x:c r="J127" s="108" t="n">
        <x:v>33</x:v>
      </x:c>
      <x:c r="K127" s="108" t="n">
        <x:v>33</x:v>
      </x:c>
      <x:c r="L127" s="108" t="n">
        <x:v>33</x:v>
      </x:c>
      <x:c r="M127" s="108" t="str">
        <x:v>沿用建议</x:v>
      </x:c>
      <x:c r="N127" s="108" t="n">
        <x:v>28</x:v>
      </x:c>
      <x:c r="O127" s="108" t="n">
        <x:v>45</x:v>
      </x:c>
      <x:c r="P127" s="108" t="n">
        <x:v>4</x:v>
      </x:c>
      <x:c r="Q127" s="91" t="str">
        <x:v>否</x:v>
      </x:c>
      <x:c r="R127" s="91" t="n">
        <x:v>1</x:v>
      </x:c>
      <x:c r="S127" s="91" t="str">
        <x:v>无</x:v>
      </x:c>
      <x:c r="T127" s="91" t="str">
        <x:v>模拟正常样本</x:v>
      </x:c>
      <x:c r="U127" s="91" t="n">
        <x:f>ABS(L127-N127)</x:f>
        <x:v>5</x:v>
      </x:c>
      <x:c r="V127" s="91" t="str">
        <x:f>IF(L127=K127,"沿用建议","人工调整")</x:f>
        <x:v>沿用建议</x:v>
      </x:c>
      <x:c r="W127" s="92" t="str">
        <x:f>IF(Q127="是","售罄风险",IF(P127&gt;3,"损耗风险","正常"))</x:f>
        <x:v>损耗风险</x:v>
      </x:c>
    </x:row>
    <x:row r="128" ht="20" customHeight="1">
      <x:c r="A128" s="105" t="n">
        <x:v>46198</x:v>
      </x:c>
      <x:c r="B128" s="91" t="str">
        <x:v>模拟店 A（成熟商圈）</x:v>
      </x:c>
      <x:c r="C128" s="91" t="str">
        <x:v>成熟店</x:v>
      </x:c>
      <x:c r="D128" s="91" t="str">
        <x:v>藕夹</x:v>
      </x:c>
      <x:c r="E128" s="91" t="str">
        <x:v>晚市</x:v>
      </x:c>
      <x:c r="F128" s="91" t="str">
        <x:v>工作日周四</x:v>
      </x:c>
      <x:c r="G128" s="91" t="str">
        <x:v>常温</x:v>
      </x:c>
      <x:c r="H128" s="91" t="str">
        <x:v>无</x:v>
      </x:c>
      <x:c r="I128" s="108" t="n">
        <x:v>35</x:v>
      </x:c>
      <x:c r="J128" s="108" t="n">
        <x:v>39</x:v>
      </x:c>
      <x:c r="K128" s="108" t="n">
        <x:v>39</x:v>
      </x:c>
      <x:c r="L128" s="108" t="n">
        <x:v>39</x:v>
      </x:c>
      <x:c r="M128" s="108" t="str">
        <x:v>沿用建议</x:v>
      </x:c>
      <x:c r="N128" s="108" t="n">
        <x:v>38</x:v>
      </x:c>
      <x:c r="O128" s="108" t="n">
        <x:v>54</x:v>
      </x:c>
      <x:c r="P128" s="108" t="n">
        <x:v>0</x:v>
      </x:c>
      <x:c r="Q128" s="91" t="str">
        <x:v>否</x:v>
      </x:c>
      <x:c r="R128" s="91" t="n">
        <x:v>1</x:v>
      </x:c>
      <x:c r="S128" s="91" t="str">
        <x:v>无</x:v>
      </x:c>
      <x:c r="T128" s="91" t="str">
        <x:v>模拟正常样本</x:v>
      </x:c>
      <x:c r="U128" s="91" t="n">
        <x:f>ABS(L128-N128)</x:f>
        <x:v>1</x:v>
      </x:c>
      <x:c r="V128" s="91" t="str">
        <x:f>IF(L128=K128,"沿用建议","人工调整")</x:f>
        <x:v>沿用建议</x:v>
      </x:c>
      <x:c r="W128" s="92" t="str">
        <x:f>IF(Q128="是","售罄风险",IF(P128&gt;3,"损耗风险","正常"))</x:f>
        <x:v>正常</x:v>
      </x:c>
    </x:row>
    <x:row r="129" ht="20" customHeight="1">
      <x:c r="A129" s="105" t="n">
        <x:v>46198</x:v>
      </x:c>
      <x:c r="B129" s="91" t="str">
        <x:v>模拟店 B（新开门店）</x:v>
      </x:c>
      <x:c r="C129" s="91" t="str">
        <x:v>新店</x:v>
      </x:c>
      <x:c r="D129" s="91" t="str">
        <x:v>筒骨煨藕汤</x:v>
      </x:c>
      <x:c r="E129" s="91" t="str">
        <x:v>晚市</x:v>
      </x:c>
      <x:c r="F129" s="91" t="str">
        <x:v>工作日周四</x:v>
      </x:c>
      <x:c r="G129" s="91" t="str">
        <x:v>高温</x:v>
      </x:c>
      <x:c r="H129" s="91" t="str">
        <x:v>无</x:v>
      </x:c>
      <x:c r="I129" s="108" t="n">
        <x:v>48</x:v>
      </x:c>
      <x:c r="J129" s="108" t="n">
        <x:v>54</x:v>
      </x:c>
      <x:c r="K129" s="108" t="n">
        <x:v>54</x:v>
      </x:c>
      <x:c r="L129" s="108" t="n">
        <x:v>54</x:v>
      </x:c>
      <x:c r="M129" s="108" t="str">
        <x:v>沿用建议</x:v>
      </x:c>
      <x:c r="N129" s="108" t="n">
        <x:v>47</x:v>
      </x:c>
      <x:c r="O129" s="108" t="n">
        <x:v>65</x:v>
      </x:c>
      <x:c r="P129" s="108" t="n">
        <x:v>5</x:v>
      </x:c>
      <x:c r="Q129" s="91" t="str">
        <x:v>否</x:v>
      </x:c>
      <x:c r="R129" s="91" t="n">
        <x:v>2</x:v>
      </x:c>
      <x:c r="S129" s="91" t="str">
        <x:v>无</x:v>
      </x:c>
      <x:c r="T129" s="91" t="str">
        <x:v>模拟正常样本</x:v>
      </x:c>
      <x:c r="U129" s="91" t="n">
        <x:f>ABS(L129-N129)</x:f>
        <x:v>7</x:v>
      </x:c>
      <x:c r="V129" s="91" t="str">
        <x:f>IF(L129=K129,"沿用建议","人工调整")</x:f>
        <x:v>沿用建议</x:v>
      </x:c>
      <x:c r="W129" s="92" t="str">
        <x:f>IF(Q129="是","售罄风险",IF(P129&gt;3,"损耗风险","正常"))</x:f>
        <x:v>损耗风险</x:v>
      </x:c>
    </x:row>
    <x:row r="130" ht="20" customHeight="1">
      <x:c r="A130" s="105" t="n">
        <x:v>46198</x:v>
      </x:c>
      <x:c r="B130" s="91" t="str">
        <x:v>模拟店 B（新开门店）</x:v>
      </x:c>
      <x:c r="C130" s="91" t="str">
        <x:v>新店</x:v>
      </x:c>
      <x:c r="D130" s="91" t="str">
        <x:v>粉蒸排骨</x:v>
      </x:c>
      <x:c r="E130" s="91" t="str">
        <x:v>晚市</x:v>
      </x:c>
      <x:c r="F130" s="91" t="str">
        <x:v>工作日周四</x:v>
      </x:c>
      <x:c r="G130" s="91" t="str">
        <x:v>高温</x:v>
      </x:c>
      <x:c r="H130" s="91" t="str">
        <x:v>无</x:v>
      </x:c>
      <x:c r="I130" s="108" t="n">
        <x:v>32</x:v>
      </x:c>
      <x:c r="J130" s="108" t="n">
        <x:v>36</x:v>
      </x:c>
      <x:c r="K130" s="108" t="n">
        <x:v>36</x:v>
      </x:c>
      <x:c r="L130" s="108" t="n">
        <x:v>36</x:v>
      </x:c>
      <x:c r="M130" s="108" t="str">
        <x:v>沿用建议</x:v>
      </x:c>
      <x:c r="N130" s="108" t="n">
        <x:v>30</x:v>
      </x:c>
      <x:c r="O130" s="108" t="n">
        <x:v>48</x:v>
      </x:c>
      <x:c r="P130" s="108" t="n">
        <x:v>4</x:v>
      </x:c>
      <x:c r="Q130" s="91" t="str">
        <x:v>否</x:v>
      </x:c>
      <x:c r="R130" s="91" t="n">
        <x:v>2</x:v>
      </x:c>
      <x:c r="S130" s="91" t="str">
        <x:v>无</x:v>
      </x:c>
      <x:c r="T130" s="91" t="str">
        <x:v>模拟正常样本</x:v>
      </x:c>
      <x:c r="U130" s="91" t="n">
        <x:f>ABS(L130-N130)</x:f>
        <x:v>6</x:v>
      </x:c>
      <x:c r="V130" s="91" t="str">
        <x:f>IF(L130=K130,"沿用建议","人工调整")</x:f>
        <x:v>沿用建议</x:v>
      </x:c>
      <x:c r="W130" s="92" t="str">
        <x:f>IF(Q130="是","售罄风险",IF(P130&gt;3,"损耗风险","正常"))</x:f>
        <x:v>损耗风险</x:v>
      </x:c>
    </x:row>
    <x:row r="131" ht="20" customHeight="1">
      <x:c r="A131" s="105" t="n">
        <x:v>46198</x:v>
      </x:c>
      <x:c r="B131" s="91" t="str">
        <x:v>模拟店 B（新开门店）</x:v>
      </x:c>
      <x:c r="C131" s="91" t="str">
        <x:v>新店</x:v>
      </x:c>
      <x:c r="D131" s="91" t="str">
        <x:v>桂花糖藕</x:v>
      </x:c>
      <x:c r="E131" s="91" t="str">
        <x:v>晚市</x:v>
      </x:c>
      <x:c r="F131" s="91" t="str">
        <x:v>工作日周四</x:v>
      </x:c>
      <x:c r="G131" s="91" t="str">
        <x:v>高温</x:v>
      </x:c>
      <x:c r="H131" s="91" t="str">
        <x:v>无</x:v>
      </x:c>
      <x:c r="I131" s="108" t="n">
        <x:v>22</x:v>
      </x:c>
      <x:c r="J131" s="108" t="n">
        <x:v>26</x:v>
      </x:c>
      <x:c r="K131" s="108" t="n">
        <x:v>26</x:v>
      </x:c>
      <x:c r="L131" s="108" t="n">
        <x:v>26</x:v>
      </x:c>
      <x:c r="M131" s="108" t="str">
        <x:v>沿用建议</x:v>
      </x:c>
      <x:c r="N131" s="108" t="n">
        <x:v>22</x:v>
      </x:c>
      <x:c r="O131" s="108" t="n">
        <x:v>39</x:v>
      </x:c>
      <x:c r="P131" s="108" t="n">
        <x:v>3</x:v>
      </x:c>
      <x:c r="Q131" s="91" t="str">
        <x:v>否</x:v>
      </x:c>
      <x:c r="R131" s="91" t="n">
        <x:v>2</x:v>
      </x:c>
      <x:c r="S131" s="91" t="str">
        <x:v>无</x:v>
      </x:c>
      <x:c r="T131" s="91" t="str">
        <x:v>模拟正常样本</x:v>
      </x:c>
      <x:c r="U131" s="91" t="n">
        <x:f>ABS(L131-N131)</x:f>
        <x:v>4</x:v>
      </x:c>
      <x:c r="V131" s="91" t="str">
        <x:f>IF(L131=K131,"沿用建议","人工调整")</x:f>
        <x:v>沿用建议</x:v>
      </x:c>
      <x:c r="W131" s="92" t="str">
        <x:f>IF(Q131="是","售罄风险",IF(P131&gt;3,"损耗风险","正常"))</x:f>
        <x:v>正常</x:v>
      </x:c>
    </x:row>
    <x:row r="132" ht="20" customHeight="1">
      <x:c r="A132" s="105" t="n">
        <x:v>46198</x:v>
      </x:c>
      <x:c r="B132" s="91" t="str">
        <x:v>模拟店 B（新开门店）</x:v>
      </x:c>
      <x:c r="C132" s="91" t="str">
        <x:v>新店</x:v>
      </x:c>
      <x:c r="D132" s="91" t="str">
        <x:v>藕夹</x:v>
      </x:c>
      <x:c r="E132" s="91" t="str">
        <x:v>晚市</x:v>
      </x:c>
      <x:c r="F132" s="91" t="str">
        <x:v>工作日周四</x:v>
      </x:c>
      <x:c r="G132" s="91" t="str">
        <x:v>高温</x:v>
      </x:c>
      <x:c r="H132" s="91" t="str">
        <x:v>无</x:v>
      </x:c>
      <x:c r="I132" s="108" t="n">
        <x:v>24</x:v>
      </x:c>
      <x:c r="J132" s="108" t="n">
        <x:v>27</x:v>
      </x:c>
      <x:c r="K132" s="108" t="n">
        <x:v>27</x:v>
      </x:c>
      <x:c r="L132" s="108" t="n">
        <x:v>27</x:v>
      </x:c>
      <x:c r="M132" s="108" t="str">
        <x:v>沿用建议</x:v>
      </x:c>
      <x:c r="N132" s="108" t="n">
        <x:v>24</x:v>
      </x:c>
      <x:c r="O132" s="108" t="n">
        <x:v>40</x:v>
      </x:c>
      <x:c r="P132" s="108" t="n">
        <x:v>1</x:v>
      </x:c>
      <x:c r="Q132" s="91" t="str">
        <x:v>否</x:v>
      </x:c>
      <x:c r="R132" s="91" t="n">
        <x:v>0</x:v>
      </x:c>
      <x:c r="S132" s="91" t="str">
        <x:v>无</x:v>
      </x:c>
      <x:c r="T132" s="91" t="str">
        <x:v>模拟正常样本</x:v>
      </x:c>
      <x:c r="U132" s="91" t="n">
        <x:f>ABS(L132-N132)</x:f>
        <x:v>3</x:v>
      </x:c>
      <x:c r="V132" s="91" t="str">
        <x:f>IF(L132=K132,"沿用建议","人工调整")</x:f>
        <x:v>沿用建议</x:v>
      </x:c>
      <x:c r="W132" s="92" t="str">
        <x:f>IF(Q132="是","售罄风险",IF(P132&gt;3,"损耗风险","正常"))</x:f>
        <x:v>正常</x:v>
      </x:c>
    </x:row>
    <x:row r="133" ht="20" customHeight="1">
      <x:c r="A133" s="105" t="n">
        <x:v>46198</x:v>
      </x:c>
      <x:c r="B133" s="91" t="str">
        <x:v>模拟店 C（社区门店）</x:v>
      </x:c>
      <x:c r="C133" s="91" t="str">
        <x:v>成长期</x:v>
      </x:c>
      <x:c r="D133" s="91" t="str">
        <x:v>筒骨煨藕汤</x:v>
      </x:c>
      <x:c r="E133" s="91" t="str">
        <x:v>晚市</x:v>
      </x:c>
      <x:c r="F133" s="91" t="str">
        <x:v>工作日周四</x:v>
      </x:c>
      <x:c r="G133" s="91" t="str">
        <x:v>常温</x:v>
      </x:c>
      <x:c r="H133" s="91" t="str">
        <x:v>无</x:v>
      </x:c>
      <x:c r="I133" s="108" t="n">
        <x:v>58</x:v>
      </x:c>
      <x:c r="J133" s="108" t="n">
        <x:v>65</x:v>
      </x:c>
      <x:c r="K133" s="108" t="n">
        <x:v>65</x:v>
      </x:c>
      <x:c r="L133" s="108" t="n">
        <x:v>65</x:v>
      </x:c>
      <x:c r="M133" s="108" t="str">
        <x:v>沿用建议</x:v>
      </x:c>
      <x:c r="N133" s="108" t="n">
        <x:v>52</x:v>
      </x:c>
      <x:c r="O133" s="108" t="n">
        <x:v>79</x:v>
      </x:c>
      <x:c r="P133" s="108" t="n">
        <x:v>11</x:v>
      </x:c>
      <x:c r="Q133" s="91" t="str">
        <x:v>否</x:v>
      </x:c>
      <x:c r="R133" s="91" t="n">
        <x:v>1</x:v>
      </x:c>
      <x:c r="S133" s="91" t="str">
        <x:v>无</x:v>
      </x:c>
      <x:c r="T133" s="91" t="str">
        <x:v>模拟正常样本</x:v>
      </x:c>
      <x:c r="U133" s="91" t="n">
        <x:f>ABS(L133-N133)</x:f>
        <x:v>13</x:v>
      </x:c>
      <x:c r="V133" s="91" t="str">
        <x:f>IF(L133=K133,"沿用建议","人工调整")</x:f>
        <x:v>沿用建议</x:v>
      </x:c>
      <x:c r="W133" s="92" t="str">
        <x:f>IF(Q133="是","售罄风险",IF(P133&gt;3,"损耗风险","正常"))</x:f>
        <x:v>损耗风险</x:v>
      </x:c>
    </x:row>
    <x:row r="134" ht="20" customHeight="1">
      <x:c r="A134" s="105" t="n">
        <x:v>46198</x:v>
      </x:c>
      <x:c r="B134" s="91" t="str">
        <x:v>模拟店 C（社区门店）</x:v>
      </x:c>
      <x:c r="C134" s="91" t="str">
        <x:v>成长期</x:v>
      </x:c>
      <x:c r="D134" s="91" t="str">
        <x:v>粉蒸排骨</x:v>
      </x:c>
      <x:c r="E134" s="91" t="str">
        <x:v>晚市</x:v>
      </x:c>
      <x:c r="F134" s="91" t="str">
        <x:v>工作日周四</x:v>
      </x:c>
      <x:c r="G134" s="91" t="str">
        <x:v>常温</x:v>
      </x:c>
      <x:c r="H134" s="91" t="str">
        <x:v>无</x:v>
      </x:c>
      <x:c r="I134" s="108" t="n">
        <x:v>35</x:v>
      </x:c>
      <x:c r="J134" s="108" t="n">
        <x:v>39</x:v>
      </x:c>
      <x:c r="K134" s="108" t="n">
        <x:v>39</x:v>
      </x:c>
      <x:c r="L134" s="108" t="n">
        <x:v>39</x:v>
      </x:c>
      <x:c r="M134" s="108" t="str">
        <x:v>沿用建议</x:v>
      </x:c>
      <x:c r="N134" s="108" t="n">
        <x:v>33</x:v>
      </x:c>
      <x:c r="O134" s="108" t="n">
        <x:v>49</x:v>
      </x:c>
      <x:c r="P134" s="108" t="n">
        <x:v>4</x:v>
      </x:c>
      <x:c r="Q134" s="91" t="str">
        <x:v>否</x:v>
      </x:c>
      <x:c r="R134" s="91" t="n">
        <x:v>2</x:v>
      </x:c>
      <x:c r="S134" s="91" t="str">
        <x:v>无</x:v>
      </x:c>
      <x:c r="T134" s="91" t="str">
        <x:v>模拟正常样本</x:v>
      </x:c>
      <x:c r="U134" s="91" t="n">
        <x:f>ABS(L134-N134)</x:f>
        <x:v>6</x:v>
      </x:c>
      <x:c r="V134" s="91" t="str">
        <x:f>IF(L134=K134,"沿用建议","人工调整")</x:f>
        <x:v>沿用建议</x:v>
      </x:c>
      <x:c r="W134" s="92" t="str">
        <x:f>IF(Q134="是","售罄风险",IF(P134&gt;3,"损耗风险","正常"))</x:f>
        <x:v>损耗风险</x:v>
      </x:c>
    </x:row>
    <x:row r="135" ht="20" customHeight="1">
      <x:c r="A135" s="105" t="n">
        <x:v>46198</x:v>
      </x:c>
      <x:c r="B135" s="91" t="str">
        <x:v>模拟店 C（社区门店）</x:v>
      </x:c>
      <x:c r="C135" s="91" t="str">
        <x:v>成长期</x:v>
      </x:c>
      <x:c r="D135" s="91" t="str">
        <x:v>桂花糖藕</x:v>
      </x:c>
      <x:c r="E135" s="91" t="str">
        <x:v>晚市</x:v>
      </x:c>
      <x:c r="F135" s="91" t="str">
        <x:v>工作日周四</x:v>
      </x:c>
      <x:c r="G135" s="91" t="str">
        <x:v>常温</x:v>
      </x:c>
      <x:c r="H135" s="91" t="str">
        <x:v>无</x:v>
      </x:c>
      <x:c r="I135" s="108" t="n">
        <x:v>23</x:v>
      </x:c>
      <x:c r="J135" s="108" t="n">
        <x:v>27</x:v>
      </x:c>
      <x:c r="K135" s="108" t="n">
        <x:v>27</x:v>
      </x:c>
      <x:c r="L135" s="108" t="n">
        <x:v>27</x:v>
      </x:c>
      <x:c r="M135" s="108" t="str">
        <x:v>沿用建议</x:v>
      </x:c>
      <x:c r="N135" s="108" t="n">
        <x:v>21</x:v>
      </x:c>
      <x:c r="O135" s="108" t="n">
        <x:v>38</x:v>
      </x:c>
      <x:c r="P135" s="108" t="n">
        <x:v>5</x:v>
      </x:c>
      <x:c r="Q135" s="91" t="str">
        <x:v>否</x:v>
      </x:c>
      <x:c r="R135" s="91" t="n">
        <x:v>1</x:v>
      </x:c>
      <x:c r="S135" s="91" t="str">
        <x:v>无</x:v>
      </x:c>
      <x:c r="T135" s="91" t="str">
        <x:v>模拟正常样本</x:v>
      </x:c>
      <x:c r="U135" s="91" t="n">
        <x:f>ABS(L135-N135)</x:f>
        <x:v>6</x:v>
      </x:c>
      <x:c r="V135" s="91" t="str">
        <x:f>IF(L135=K135,"沿用建议","人工调整")</x:f>
        <x:v>沿用建议</x:v>
      </x:c>
      <x:c r="W135" s="92" t="str">
        <x:f>IF(Q135="是","售罄风险",IF(P135&gt;3,"损耗风险","正常"))</x:f>
        <x:v>损耗风险</x:v>
      </x:c>
    </x:row>
    <x:row r="136" ht="20" customHeight="1">
      <x:c r="A136" s="105" t="n">
        <x:v>46198</x:v>
      </x:c>
      <x:c r="B136" s="91" t="str">
        <x:v>模拟店 C（社区门店）</x:v>
      </x:c>
      <x:c r="C136" s="91" t="str">
        <x:v>成长期</x:v>
      </x:c>
      <x:c r="D136" s="91" t="str">
        <x:v>藕夹</x:v>
      </x:c>
      <x:c r="E136" s="91" t="str">
        <x:v>晚市</x:v>
      </x:c>
      <x:c r="F136" s="91" t="str">
        <x:v>工作日周四</x:v>
      </x:c>
      <x:c r="G136" s="91" t="str">
        <x:v>常温</x:v>
      </x:c>
      <x:c r="H136" s="91" t="str">
        <x:v>无</x:v>
      </x:c>
      <x:c r="I136" s="108" t="n">
        <x:v>28</x:v>
      </x:c>
      <x:c r="J136" s="108" t="n">
        <x:v>32</x:v>
      </x:c>
      <x:c r="K136" s="108" t="n">
        <x:v>32</x:v>
      </x:c>
      <x:c r="L136" s="108" t="n">
        <x:v>32</x:v>
      </x:c>
      <x:c r="M136" s="108" t="str">
        <x:v>沿用建议</x:v>
      </x:c>
      <x:c r="N136" s="108" t="n">
        <x:v>28</x:v>
      </x:c>
      <x:c r="O136" s="108" t="n">
        <x:v>43</x:v>
      </x:c>
      <x:c r="P136" s="108" t="n">
        <x:v>2</x:v>
      </x:c>
      <x:c r="Q136" s="91" t="str">
        <x:v>否</x:v>
      </x:c>
      <x:c r="R136" s="91" t="n">
        <x:v>2</x:v>
      </x:c>
      <x:c r="S136" s="91" t="str">
        <x:v>无</x:v>
      </x:c>
      <x:c r="T136" s="91" t="str">
        <x:v>模拟正常样本</x:v>
      </x:c>
      <x:c r="U136" s="91" t="n">
        <x:f>ABS(L136-N136)</x:f>
        <x:v>4</x:v>
      </x:c>
      <x:c r="V136" s="91" t="str">
        <x:f>IF(L136=K136,"沿用建议","人工调整")</x:f>
        <x:v>沿用建议</x:v>
      </x:c>
      <x:c r="W136" s="92" t="str">
        <x:f>IF(Q136="是","售罄风险",IF(P136&gt;3,"损耗风险","正常"))</x:f>
        <x:v>正常</x:v>
      </x:c>
    </x:row>
    <x:row r="137" ht="20" customHeight="1">
      <x:c r="A137" s="105" t="n">
        <x:v>46199</x:v>
      </x:c>
      <x:c r="B137" s="91" t="str">
        <x:v>模拟店 A（成熟商圈）</x:v>
      </x:c>
      <x:c r="C137" s="91" t="str">
        <x:v>成熟店</x:v>
      </x:c>
      <x:c r="D137" s="91" t="str">
        <x:v>筒骨煨藕汤</x:v>
      </x:c>
      <x:c r="E137" s="91" t="str">
        <x:v>晚市</x:v>
      </x:c>
      <x:c r="F137" s="91" t="str">
        <x:v>工作日周五</x:v>
      </x:c>
      <x:c r="G137" s="91" t="str">
        <x:v>高温</x:v>
      </x:c>
      <x:c r="H137" s="91" t="str">
        <x:v>无</x:v>
      </x:c>
      <x:c r="I137" s="108" t="n">
        <x:v>64</x:v>
      </x:c>
      <x:c r="J137" s="108" t="n">
        <x:v>72</x:v>
      </x:c>
      <x:c r="K137" s="108" t="n">
        <x:v>72</x:v>
      </x:c>
      <x:c r="L137" s="108" t="n">
        <x:v>75</x:v>
      </x:c>
      <x:c r="M137" s="108" t="str">
        <x:v>当班经验判断</x:v>
      </x:c>
      <x:c r="N137" s="108" t="n">
        <x:v>68</x:v>
      </x:c>
      <x:c r="O137" s="108" t="n">
        <x:v>82</x:v>
      </x:c>
      <x:c r="P137" s="108" t="n">
        <x:v>5</x:v>
      </x:c>
      <x:c r="Q137" s="91" t="str">
        <x:v>否</x:v>
      </x:c>
      <x:c r="R137" s="91" t="n">
        <x:v>2</x:v>
      </x:c>
      <x:c r="S137" s="91" t="str">
        <x:v>无</x:v>
      </x:c>
      <x:c r="T137" s="91" t="str">
        <x:v>模拟正常样本</x:v>
      </x:c>
      <x:c r="U137" s="91" t="n">
        <x:f>ABS(L137-N137)</x:f>
        <x:v>7</x:v>
      </x:c>
      <x:c r="V137" s="91" t="str">
        <x:f>IF(L137=K137,"沿用建议","人工调整")</x:f>
        <x:v>人工调整</x:v>
      </x:c>
      <x:c r="W137" s="92" t="str">
        <x:f>IF(Q137="是","售罄风险",IF(P137&gt;3,"损耗风险","正常"))</x:f>
        <x:v>损耗风险</x:v>
      </x:c>
    </x:row>
    <x:row r="138" ht="20" customHeight="1">
      <x:c r="A138" s="105" t="n">
        <x:v>46199</x:v>
      </x:c>
      <x:c r="B138" s="91" t="str">
        <x:v>模拟店 A（成熟商圈）</x:v>
      </x:c>
      <x:c r="C138" s="91" t="str">
        <x:v>成熟店</x:v>
      </x:c>
      <x:c r="D138" s="91" t="str">
        <x:v>粉蒸排骨</x:v>
      </x:c>
      <x:c r="E138" s="91" t="str">
        <x:v>晚市</x:v>
      </x:c>
      <x:c r="F138" s="91" t="str">
        <x:v>工作日周五</x:v>
      </x:c>
      <x:c r="G138" s="91" t="str">
        <x:v>高温</x:v>
      </x:c>
      <x:c r="H138" s="91" t="str">
        <x:v>无</x:v>
      </x:c>
      <x:c r="I138" s="108" t="n">
        <x:v>42</x:v>
      </x:c>
      <x:c r="J138" s="108" t="n">
        <x:v>46</x:v>
      </x:c>
      <x:c r="K138" s="108" t="n">
        <x:v>46</x:v>
      </x:c>
      <x:c r="L138" s="108" t="n">
        <x:v>46</x:v>
      </x:c>
      <x:c r="M138" s="108" t="str">
        <x:v>沿用建议</x:v>
      </x:c>
      <x:c r="N138" s="108" t="n">
        <x:v>44</x:v>
      </x:c>
      <x:c r="O138" s="108" t="n">
        <x:v>53</x:v>
      </x:c>
      <x:c r="P138" s="108" t="n">
        <x:v>0</x:v>
      </x:c>
      <x:c r="Q138" s="91" t="str">
        <x:v>否</x:v>
      </x:c>
      <x:c r="R138" s="91" t="n">
        <x:v>3</x:v>
      </x:c>
      <x:c r="S138" s="91" t="str">
        <x:v>无</x:v>
      </x:c>
      <x:c r="T138" s="91" t="str">
        <x:v>模拟正常样本</x:v>
      </x:c>
      <x:c r="U138" s="91" t="n">
        <x:f>ABS(L138-N138)</x:f>
        <x:v>2</x:v>
      </x:c>
      <x:c r="V138" s="91" t="str">
        <x:f>IF(L138=K138,"沿用建议","人工调整")</x:f>
        <x:v>沿用建议</x:v>
      </x:c>
      <x:c r="W138" s="92" t="str">
        <x:f>IF(Q138="是","售罄风险",IF(P138&gt;3,"损耗风险","正常"))</x:f>
        <x:v>正常</x:v>
      </x:c>
    </x:row>
    <x:row r="139" ht="20" customHeight="1">
      <x:c r="A139" s="105" t="n">
        <x:v>46199</x:v>
      </x:c>
      <x:c r="B139" s="91" t="str">
        <x:v>模拟店 A（成熟商圈）</x:v>
      </x:c>
      <x:c r="C139" s="91" t="str">
        <x:v>成熟店</x:v>
      </x:c>
      <x:c r="D139" s="91" t="str">
        <x:v>桂花糖藕</x:v>
      </x:c>
      <x:c r="E139" s="91" t="str">
        <x:v>晚市</x:v>
      </x:c>
      <x:c r="F139" s="91" t="str">
        <x:v>工作日周五</x:v>
      </x:c>
      <x:c r="G139" s="91" t="str">
        <x:v>高温</x:v>
      </x:c>
      <x:c r="H139" s="91" t="str">
        <x:v>无</x:v>
      </x:c>
      <x:c r="I139" s="108" t="n">
        <x:v>27</x:v>
      </x:c>
      <x:c r="J139" s="108" t="n">
        <x:v>31</x:v>
      </x:c>
      <x:c r="K139" s="108" t="n">
        <x:v>31</x:v>
      </x:c>
      <x:c r="L139" s="108" t="n">
        <x:v>31</x:v>
      </x:c>
      <x:c r="M139" s="108" t="str">
        <x:v>沿用建议</x:v>
      </x:c>
      <x:c r="N139" s="108" t="n">
        <x:v>29</x:v>
      </x:c>
      <x:c r="O139" s="108" t="n">
        <x:v>41</x:v>
      </x:c>
      <x:c r="P139" s="108" t="n">
        <x:v>1</x:v>
      </x:c>
      <x:c r="Q139" s="91" t="str">
        <x:v>否</x:v>
      </x:c>
      <x:c r="R139" s="91" t="n">
        <x:v>2</x:v>
      </x:c>
      <x:c r="S139" s="91" t="str">
        <x:v>无</x:v>
      </x:c>
      <x:c r="T139" s="91" t="str">
        <x:v>模拟正常样本</x:v>
      </x:c>
      <x:c r="U139" s="91" t="n">
        <x:f>ABS(L139-N139)</x:f>
        <x:v>2</x:v>
      </x:c>
      <x:c r="V139" s="91" t="str">
        <x:f>IF(L139=K139,"沿用建议","人工调整")</x:f>
        <x:v>沿用建议</x:v>
      </x:c>
      <x:c r="W139" s="92" t="str">
        <x:f>IF(Q139="是","售罄风险",IF(P139&gt;3,"损耗风险","正常"))</x:f>
        <x:v>正常</x:v>
      </x:c>
    </x:row>
    <x:row r="140" ht="20" customHeight="1">
      <x:c r="A140" s="105" t="n">
        <x:v>46199</x:v>
      </x:c>
      <x:c r="B140" s="91" t="str">
        <x:v>模拟店 A（成熟商圈）</x:v>
      </x:c>
      <x:c r="C140" s="91" t="str">
        <x:v>成熟店</x:v>
      </x:c>
      <x:c r="D140" s="91" t="str">
        <x:v>藕夹</x:v>
      </x:c>
      <x:c r="E140" s="91" t="str">
        <x:v>晚市</x:v>
      </x:c>
      <x:c r="F140" s="91" t="str">
        <x:v>工作日周五</x:v>
      </x:c>
      <x:c r="G140" s="91" t="str">
        <x:v>高温</x:v>
      </x:c>
      <x:c r="H140" s="91" t="str">
        <x:v>无</x:v>
      </x:c>
      <x:c r="I140" s="108" t="n">
        <x:v>32</x:v>
      </x:c>
      <x:c r="J140" s="108" t="n">
        <x:v>36</x:v>
      </x:c>
      <x:c r="K140" s="108" t="n">
        <x:v>36</x:v>
      </x:c>
      <x:c r="L140" s="108" t="n">
        <x:v>36</x:v>
      </x:c>
      <x:c r="M140" s="108" t="str">
        <x:v>沿用建议</x:v>
      </x:c>
      <x:c r="N140" s="108" t="n">
        <x:v>30</x:v>
      </x:c>
      <x:c r="O140" s="108" t="n">
        <x:v>47</x:v>
      </x:c>
      <x:c r="P140" s="108" t="n">
        <x:v>4</x:v>
      </x:c>
      <x:c r="Q140" s="91" t="str">
        <x:v>否</x:v>
      </x:c>
      <x:c r="R140" s="91" t="n">
        <x:v>1</x:v>
      </x:c>
      <x:c r="S140" s="91" t="str">
        <x:v>无</x:v>
      </x:c>
      <x:c r="T140" s="91" t="str">
        <x:v>模拟正常样本</x:v>
      </x:c>
      <x:c r="U140" s="91" t="n">
        <x:f>ABS(L140-N140)</x:f>
        <x:v>6</x:v>
      </x:c>
      <x:c r="V140" s="91" t="str">
        <x:f>IF(L140=K140,"沿用建议","人工调整")</x:f>
        <x:v>沿用建议</x:v>
      </x:c>
      <x:c r="W140" s="92" t="str">
        <x:f>IF(Q140="是","售罄风险",IF(P140&gt;3,"损耗风险","正常"))</x:f>
        <x:v>损耗风险</x:v>
      </x:c>
    </x:row>
    <x:row r="141" ht="20" customHeight="1">
      <x:c r="A141" s="105" t="n">
        <x:v>46199</x:v>
      </x:c>
      <x:c r="B141" s="91" t="str">
        <x:v>模拟店 B（新开门店）</x:v>
      </x:c>
      <x:c r="C141" s="91" t="str">
        <x:v>新店</x:v>
      </x:c>
      <x:c r="D141" s="91" t="str">
        <x:v>筒骨煨藕汤</x:v>
      </x:c>
      <x:c r="E141" s="91" t="str">
        <x:v>晚市</x:v>
      </x:c>
      <x:c r="F141" s="91" t="str">
        <x:v>工作日周五</x:v>
      </x:c>
      <x:c r="G141" s="91" t="str">
        <x:v>常温</x:v>
      </x:c>
      <x:c r="H141" s="91" t="str">
        <x:v>无</x:v>
      </x:c>
      <x:c r="I141" s="108" t="n">
        <x:v>51</x:v>
      </x:c>
      <x:c r="J141" s="108" t="n">
        <x:v>58</x:v>
      </x:c>
      <x:c r="K141" s="108" t="n">
        <x:v>58</x:v>
      </x:c>
      <x:c r="L141" s="108" t="n">
        <x:v>58</x:v>
      </x:c>
      <x:c r="M141" s="108" t="str">
        <x:v>沿用建议</x:v>
      </x:c>
      <x:c r="N141" s="108" t="n">
        <x:v>55</x:v>
      </x:c>
      <x:c r="O141" s="108" t="n">
        <x:v>72</x:v>
      </x:c>
      <x:c r="P141" s="108" t="n">
        <x:v>1</x:v>
      </x:c>
      <x:c r="Q141" s="91" t="str">
        <x:v>否</x:v>
      </x:c>
      <x:c r="R141" s="91" t="n">
        <x:v>1</x:v>
      </x:c>
      <x:c r="S141" s="91" t="str">
        <x:v>无</x:v>
      </x:c>
      <x:c r="T141" s="91" t="str">
        <x:v>模拟正常样本</x:v>
      </x:c>
      <x:c r="U141" s="91" t="n">
        <x:f>ABS(L141-N141)</x:f>
        <x:v>3</x:v>
      </x:c>
      <x:c r="V141" s="91" t="str">
        <x:f>IF(L141=K141,"沿用建议","人工调整")</x:f>
        <x:v>沿用建议</x:v>
      </x:c>
      <x:c r="W141" s="92" t="str">
        <x:f>IF(Q141="是","售罄风险",IF(P141&gt;3,"损耗风险","正常"))</x:f>
        <x:v>正常</x:v>
      </x:c>
    </x:row>
    <x:row r="142" ht="20" customHeight="1">
      <x:c r="A142" s="105" t="n">
        <x:v>46199</x:v>
      </x:c>
      <x:c r="B142" s="91" t="str">
        <x:v>模拟店 B（新开门店）</x:v>
      </x:c>
      <x:c r="C142" s="91" t="str">
        <x:v>新店</x:v>
      </x:c>
      <x:c r="D142" s="91" t="str">
        <x:v>粉蒸排骨</x:v>
      </x:c>
      <x:c r="E142" s="91" t="str">
        <x:v>晚市</x:v>
      </x:c>
      <x:c r="F142" s="91" t="str">
        <x:v>工作日周五</x:v>
      </x:c>
      <x:c r="G142" s="91" t="str">
        <x:v>常温</x:v>
      </x:c>
      <x:c r="H142" s="91" t="str">
        <x:v>无</x:v>
      </x:c>
      <x:c r="I142" s="108" t="n">
        <x:v>31</x:v>
      </x:c>
      <x:c r="J142" s="108" t="n">
        <x:v>35</x:v>
      </x:c>
      <x:c r="K142" s="108" t="n">
        <x:v>35</x:v>
      </x:c>
      <x:c r="L142" s="108" t="n">
        <x:v>35</x:v>
      </x:c>
      <x:c r="M142" s="108" t="str">
        <x:v>沿用建议</x:v>
      </x:c>
      <x:c r="N142" s="108" t="n">
        <x:v>34</x:v>
      </x:c>
      <x:c r="O142" s="108" t="n">
        <x:v>44</x:v>
      </x:c>
      <x:c r="P142" s="108" t="n">
        <x:v>0</x:v>
      </x:c>
      <x:c r="Q142" s="91" t="str">
        <x:v>否</x:v>
      </x:c>
      <x:c r="R142" s="91" t="n">
        <x:v>2</x:v>
      </x:c>
      <x:c r="S142" s="91" t="str">
        <x:v>无</x:v>
      </x:c>
      <x:c r="T142" s="91" t="str">
        <x:v>模拟正常样本</x:v>
      </x:c>
      <x:c r="U142" s="91" t="n">
        <x:f>ABS(L142-N142)</x:f>
        <x:v>1</x:v>
      </x:c>
      <x:c r="V142" s="91" t="str">
        <x:f>IF(L142=K142,"沿用建议","人工调整")</x:f>
        <x:v>沿用建议</x:v>
      </x:c>
      <x:c r="W142" s="92" t="str">
        <x:f>IF(Q142="是","售罄风险",IF(P142&gt;3,"损耗风险","正常"))</x:f>
        <x:v>正常</x:v>
      </x:c>
    </x:row>
    <x:row r="143" ht="20" customHeight="1">
      <x:c r="A143" s="105" t="n">
        <x:v>46199</x:v>
      </x:c>
      <x:c r="B143" s="91" t="str">
        <x:v>模拟店 B（新开门店）</x:v>
      </x:c>
      <x:c r="C143" s="91" t="str">
        <x:v>新店</x:v>
      </x:c>
      <x:c r="D143" s="91" t="str">
        <x:v>桂花糖藕</x:v>
      </x:c>
      <x:c r="E143" s="91" t="str">
        <x:v>晚市</x:v>
      </x:c>
      <x:c r="F143" s="91" t="str">
        <x:v>工作日周五</x:v>
      </x:c>
      <x:c r="G143" s="91" t="str">
        <x:v>常温</x:v>
      </x:c>
      <x:c r="H143" s="91" t="str">
        <x:v>无</x:v>
      </x:c>
      <x:c r="I143" s="108" t="n">
        <x:v>22</x:v>
      </x:c>
      <x:c r="J143" s="108" t="n">
        <x:v>26</x:v>
      </x:c>
      <x:c r="K143" s="108" t="n">
        <x:v>26</x:v>
      </x:c>
      <x:c r="L143" s="108" t="n">
        <x:v>26</x:v>
      </x:c>
      <x:c r="M143" s="108" t="str">
        <x:v>沿用建议</x:v>
      </x:c>
      <x:c r="N143" s="108" t="n">
        <x:v>22</x:v>
      </x:c>
      <x:c r="O143" s="108" t="n">
        <x:v>38</x:v>
      </x:c>
      <x:c r="P143" s="108" t="n">
        <x:v>3</x:v>
      </x:c>
      <x:c r="Q143" s="91" t="str">
        <x:v>否</x:v>
      </x:c>
      <x:c r="R143" s="91" t="n">
        <x:v>2</x:v>
      </x:c>
      <x:c r="S143" s="91" t="str">
        <x:v>无</x:v>
      </x:c>
      <x:c r="T143" s="91" t="str">
        <x:v>模拟正常样本</x:v>
      </x:c>
      <x:c r="U143" s="91" t="n">
        <x:f>ABS(L143-N143)</x:f>
        <x:v>4</x:v>
      </x:c>
      <x:c r="V143" s="91" t="str">
        <x:f>IF(L143=K143,"沿用建议","人工调整")</x:f>
        <x:v>沿用建议</x:v>
      </x:c>
      <x:c r="W143" s="92" t="str">
        <x:f>IF(Q143="是","售罄风险",IF(P143&gt;3,"损耗风险","正常"))</x:f>
        <x:v>正常</x:v>
      </x:c>
    </x:row>
    <x:row r="144" ht="20" customHeight="1">
      <x:c r="A144" s="105" t="n">
        <x:v>46199</x:v>
      </x:c>
      <x:c r="B144" s="91" t="str">
        <x:v>模拟店 B（新开门店）</x:v>
      </x:c>
      <x:c r="C144" s="91" t="str">
        <x:v>新店</x:v>
      </x:c>
      <x:c r="D144" s="91" t="str">
        <x:v>藕夹</x:v>
      </x:c>
      <x:c r="E144" s="91" t="str">
        <x:v>晚市</x:v>
      </x:c>
      <x:c r="F144" s="91" t="str">
        <x:v>工作日周五</x:v>
      </x:c>
      <x:c r="G144" s="91" t="str">
        <x:v>常温</x:v>
      </x:c>
      <x:c r="H144" s="91" t="str">
        <x:v>无</x:v>
      </x:c>
      <x:c r="I144" s="108" t="n">
        <x:v>25</x:v>
      </x:c>
      <x:c r="J144" s="108" t="n">
        <x:v>29</x:v>
      </x:c>
      <x:c r="K144" s="108" t="n">
        <x:v>29</x:v>
      </x:c>
      <x:c r="L144" s="108" t="n">
        <x:v>29</x:v>
      </x:c>
      <x:c r="M144" s="108" t="str">
        <x:v>沿用建议</x:v>
      </x:c>
      <x:c r="N144" s="108" t="n">
        <x:v>24</x:v>
      </x:c>
      <x:c r="O144" s="108" t="n">
        <x:v>41</x:v>
      </x:c>
      <x:c r="P144" s="108" t="n">
        <x:v>3</x:v>
      </x:c>
      <x:c r="Q144" s="91" t="str">
        <x:v>否</x:v>
      </x:c>
      <x:c r="R144" s="91" t="n">
        <x:v>3</x:v>
      </x:c>
      <x:c r="S144" s="91" t="str">
        <x:v>无</x:v>
      </x:c>
      <x:c r="T144" s="91" t="str">
        <x:v>模拟正常样本</x:v>
      </x:c>
      <x:c r="U144" s="91" t="n">
        <x:f>ABS(L144-N144)</x:f>
        <x:v>5</x:v>
      </x:c>
      <x:c r="V144" s="91" t="str">
        <x:f>IF(L144=K144,"沿用建议","人工调整")</x:f>
        <x:v>沿用建议</x:v>
      </x:c>
      <x:c r="W144" s="92" t="str">
        <x:f>IF(Q144="是","售罄风险",IF(P144&gt;3,"损耗风险","正常"))</x:f>
        <x:v>正常</x:v>
      </x:c>
    </x:row>
    <x:row r="145" ht="20" customHeight="1">
      <x:c r="A145" s="105" t="n">
        <x:v>46199</x:v>
      </x:c>
      <x:c r="B145" s="91" t="str">
        <x:v>模拟店 C（社区门店）</x:v>
      </x:c>
      <x:c r="C145" s="91" t="str">
        <x:v>成长期</x:v>
      </x:c>
      <x:c r="D145" s="91" t="str">
        <x:v>筒骨煨藕汤</x:v>
      </x:c>
      <x:c r="E145" s="91" t="str">
        <x:v>晚市</x:v>
      </x:c>
      <x:c r="F145" s="91" t="str">
        <x:v>工作日周五</x:v>
      </x:c>
      <x:c r="G145" s="91" t="str">
        <x:v>降温</x:v>
      </x:c>
      <x:c r="H145" s="91" t="str">
        <x:v>无</x:v>
      </x:c>
      <x:c r="I145" s="108" t="n">
        <x:v>62</x:v>
      </x:c>
      <x:c r="J145" s="108" t="n">
        <x:v>70</x:v>
      </x:c>
      <x:c r="K145" s="108" t="n">
        <x:v>70</x:v>
      </x:c>
      <x:c r="L145" s="108" t="n">
        <x:v>70</x:v>
      </x:c>
      <x:c r="M145" s="108" t="str">
        <x:v>沿用建议</x:v>
      </x:c>
      <x:c r="N145" s="108" t="n">
        <x:v>57</x:v>
      </x:c>
      <x:c r="O145" s="108" t="n">
        <x:v>79</x:v>
      </x:c>
      <x:c r="P145" s="108" t="n">
        <x:v>11</x:v>
      </x:c>
      <x:c r="Q145" s="91" t="str">
        <x:v>否</x:v>
      </x:c>
      <x:c r="R145" s="91" t="n">
        <x:v>1</x:v>
      </x:c>
      <x:c r="S145" s="91" t="str">
        <x:v>无</x:v>
      </x:c>
      <x:c r="T145" s="91" t="str">
        <x:v>模拟正常样本</x:v>
      </x:c>
      <x:c r="U145" s="91" t="n">
        <x:f>ABS(L145-N145)</x:f>
        <x:v>13</x:v>
      </x:c>
      <x:c r="V145" s="91" t="str">
        <x:f>IF(L145=K145,"沿用建议","人工调整")</x:f>
        <x:v>沿用建议</x:v>
      </x:c>
      <x:c r="W145" s="92" t="str">
        <x:f>IF(Q145="是","售罄风险",IF(P145&gt;3,"损耗风险","正常"))</x:f>
        <x:v>损耗风险</x:v>
      </x:c>
    </x:row>
    <x:row r="146" ht="20" customHeight="1">
      <x:c r="A146" s="105" t="n">
        <x:v>46199</x:v>
      </x:c>
      <x:c r="B146" s="91" t="str">
        <x:v>模拟店 C（社区门店）</x:v>
      </x:c>
      <x:c r="C146" s="91" t="str">
        <x:v>成长期</x:v>
      </x:c>
      <x:c r="D146" s="91" t="str">
        <x:v>粉蒸排骨</x:v>
      </x:c>
      <x:c r="E146" s="91" t="str">
        <x:v>晚市</x:v>
      </x:c>
      <x:c r="F146" s="91" t="str">
        <x:v>工作日周五</x:v>
      </x:c>
      <x:c r="G146" s="91" t="str">
        <x:v>降温</x:v>
      </x:c>
      <x:c r="H146" s="91" t="str">
        <x:v>无</x:v>
      </x:c>
      <x:c r="I146" s="108" t="n">
        <x:v>34</x:v>
      </x:c>
      <x:c r="J146" s="108" t="n">
        <x:v>38</x:v>
      </x:c>
      <x:c r="K146" s="108" t="n">
        <x:v>38</x:v>
      </x:c>
      <x:c r="L146" s="108" t="n">
        <x:v>36</x:v>
      </x:c>
      <x:c r="M146" s="108" t="str">
        <x:v>当班经验判断</x:v>
      </x:c>
      <x:c r="N146" s="108" t="n">
        <x:v>35</x:v>
      </x:c>
      <x:c r="O146" s="108" t="n">
        <x:v>50</x:v>
      </x:c>
      <x:c r="P146" s="108" t="n">
        <x:v>0</x:v>
      </x:c>
      <x:c r="Q146" s="91" t="str">
        <x:v>否</x:v>
      </x:c>
      <x:c r="R146" s="91" t="n">
        <x:v>0</x:v>
      </x:c>
      <x:c r="S146" s="91" t="str">
        <x:v>无</x:v>
      </x:c>
      <x:c r="T146" s="91" t="str">
        <x:v>模拟正常样本</x:v>
      </x:c>
      <x:c r="U146" s="91" t="n">
        <x:f>ABS(L146-N146)</x:f>
        <x:v>1</x:v>
      </x:c>
      <x:c r="V146" s="91" t="str">
        <x:f>IF(L146=K146,"沿用建议","人工调整")</x:f>
        <x:v>人工调整</x:v>
      </x:c>
      <x:c r="W146" s="92" t="str">
        <x:f>IF(Q146="是","售罄风险",IF(P146&gt;3,"损耗风险","正常"))</x:f>
        <x:v>正常</x:v>
      </x:c>
    </x:row>
    <x:row r="147" ht="20" customHeight="1">
      <x:c r="A147" s="105" t="n">
        <x:v>46199</x:v>
      </x:c>
      <x:c r="B147" s="91" t="str">
        <x:v>模拟店 C（社区门店）</x:v>
      </x:c>
      <x:c r="C147" s="91" t="str">
        <x:v>成长期</x:v>
      </x:c>
      <x:c r="D147" s="91" t="str">
        <x:v>桂花糖藕</x:v>
      </x:c>
      <x:c r="E147" s="91" t="str">
        <x:v>晚市</x:v>
      </x:c>
      <x:c r="F147" s="91" t="str">
        <x:v>工作日周五</x:v>
      </x:c>
      <x:c r="G147" s="91" t="str">
        <x:v>降温</x:v>
      </x:c>
      <x:c r="H147" s="91" t="str">
        <x:v>无</x:v>
      </x:c>
      <x:c r="I147" s="108" t="n">
        <x:v>25</x:v>
      </x:c>
      <x:c r="J147" s="108" t="n">
        <x:v>29</x:v>
      </x:c>
      <x:c r="K147" s="108" t="n">
        <x:v>29</x:v>
      </x:c>
      <x:c r="L147" s="108" t="n">
        <x:v>29</x:v>
      </x:c>
      <x:c r="M147" s="108" t="str">
        <x:v>沿用建议</x:v>
      </x:c>
      <x:c r="N147" s="108" t="n">
        <x:v>23</x:v>
      </x:c>
      <x:c r="O147" s="108" t="n">
        <x:v>43</x:v>
      </x:c>
      <x:c r="P147" s="108" t="n">
        <x:v>5</x:v>
      </x:c>
      <x:c r="Q147" s="91" t="str">
        <x:v>否</x:v>
      </x:c>
      <x:c r="R147" s="91" t="n">
        <x:v>1</x:v>
      </x:c>
      <x:c r="S147" s="91" t="str">
        <x:v>无</x:v>
      </x:c>
      <x:c r="T147" s="91" t="str">
        <x:v>模拟正常样本</x:v>
      </x:c>
      <x:c r="U147" s="91" t="n">
        <x:f>ABS(L147-N147)</x:f>
        <x:v>6</x:v>
      </x:c>
      <x:c r="V147" s="91" t="str">
        <x:f>IF(L147=K147,"沿用建议","人工调整")</x:f>
        <x:v>沿用建议</x:v>
      </x:c>
      <x:c r="W147" s="92" t="str">
        <x:f>IF(Q147="是","售罄风险",IF(P147&gt;3,"损耗风险","正常"))</x:f>
        <x:v>损耗风险</x:v>
      </x:c>
    </x:row>
    <x:row r="148" ht="20" customHeight="1">
      <x:c r="A148" s="105" t="n">
        <x:v>46199</x:v>
      </x:c>
      <x:c r="B148" s="91" t="str">
        <x:v>模拟店 C（社区门店）</x:v>
      </x:c>
      <x:c r="C148" s="91" t="str">
        <x:v>成长期</x:v>
      </x:c>
      <x:c r="D148" s="91" t="str">
        <x:v>藕夹</x:v>
      </x:c>
      <x:c r="E148" s="91" t="str">
        <x:v>晚市</x:v>
      </x:c>
      <x:c r="F148" s="91" t="str">
        <x:v>工作日周五</x:v>
      </x:c>
      <x:c r="G148" s="91" t="str">
        <x:v>降温</x:v>
      </x:c>
      <x:c r="H148" s="91" t="str">
        <x:v>无</x:v>
      </x:c>
      <x:c r="I148" s="108" t="n">
        <x:v>28</x:v>
      </x:c>
      <x:c r="J148" s="108" t="n">
        <x:v>32</x:v>
      </x:c>
      <x:c r="K148" s="108" t="n">
        <x:v>32</x:v>
      </x:c>
      <x:c r="L148" s="108" t="n">
        <x:v>32</x:v>
      </x:c>
      <x:c r="M148" s="108" t="str">
        <x:v>沿用建议</x:v>
      </x:c>
      <x:c r="N148" s="108" t="n">
        <x:v>26</x:v>
      </x:c>
      <x:c r="O148" s="108" t="n">
        <x:v>44</x:v>
      </x:c>
      <x:c r="P148" s="108" t="n">
        <x:v>4</x:v>
      </x:c>
      <x:c r="Q148" s="91" t="str">
        <x:v>否</x:v>
      </x:c>
      <x:c r="R148" s="91" t="n">
        <x:v>2</x:v>
      </x:c>
      <x:c r="S148" s="91" t="str">
        <x:v>待复核</x:v>
      </x:c>
      <x:c r="T148" s="91" t="str">
        <x:v>关联异常处置日志</x:v>
      </x:c>
      <x:c r="U148" s="91" t="n">
        <x:f>ABS(L148-N148)</x:f>
        <x:v>6</x:v>
      </x:c>
      <x:c r="V148" s="91" t="str">
        <x:f>IF(L148=K148,"沿用建议","人工调整")</x:f>
        <x:v>沿用建议</x:v>
      </x:c>
      <x:c r="W148" s="92" t="str">
        <x:f>IF(Q148="是","售罄风险",IF(P148&gt;3,"损耗风险","正常"))</x:f>
        <x:v>损耗风险</x:v>
      </x:c>
    </x:row>
    <x:row r="149" ht="20" customHeight="1">
      <x:c r="A149" s="105" t="n">
        <x:v>46200</x:v>
      </x:c>
      <x:c r="B149" s="91" t="str">
        <x:v>模拟店 A（成熟商圈）</x:v>
      </x:c>
      <x:c r="C149" s="91" t="str">
        <x:v>成熟店</x:v>
      </x:c>
      <x:c r="D149" s="91" t="str">
        <x:v>筒骨煨藕汤</x:v>
      </x:c>
      <x:c r="E149" s="91" t="str">
        <x:v>晚市</x:v>
      </x:c>
      <x:c r="F149" s="91" t="str">
        <x:v>周末周六</x:v>
      </x:c>
      <x:c r="G149" s="91" t="str">
        <x:v>常温</x:v>
      </x:c>
      <x:c r="H149" s="91" t="str">
        <x:v>无</x:v>
      </x:c>
      <x:c r="I149" s="108" t="n">
        <x:v>83</x:v>
      </x:c>
      <x:c r="J149" s="108" t="n">
        <x:v>92</x:v>
      </x:c>
      <x:c r="K149" s="108" t="n">
        <x:v>92</x:v>
      </x:c>
      <x:c r="L149" s="108" t="n">
        <x:v>92</x:v>
      </x:c>
      <x:c r="M149" s="108" t="str">
        <x:v>沿用建议</x:v>
      </x:c>
      <x:c r="N149" s="108" t="n">
        <x:v>82</x:v>
      </x:c>
      <x:c r="O149" s="108" t="n">
        <x:v>105</x:v>
      </x:c>
      <x:c r="P149" s="108" t="n">
        <x:v>8</x:v>
      </x:c>
      <x:c r="Q149" s="91" t="str">
        <x:v>否</x:v>
      </x:c>
      <x:c r="R149" s="91" t="n">
        <x:v>2</x:v>
      </x:c>
      <x:c r="S149" s="91" t="str">
        <x:v>无</x:v>
      </x:c>
      <x:c r="T149" s="91" t="str">
        <x:v>模拟正常样本</x:v>
      </x:c>
      <x:c r="U149" s="91" t="n">
        <x:f>ABS(L149-N149)</x:f>
        <x:v>10</x:v>
      </x:c>
      <x:c r="V149" s="91" t="str">
        <x:f>IF(L149=K149,"沿用建议","人工调整")</x:f>
        <x:v>沿用建议</x:v>
      </x:c>
      <x:c r="W149" s="92" t="str">
        <x:f>IF(Q149="是","售罄风险",IF(P149&gt;3,"损耗风险","正常"))</x:f>
        <x:v>损耗风险</x:v>
      </x:c>
    </x:row>
    <x:row r="150" ht="20" customHeight="1">
      <x:c r="A150" s="105" t="n">
        <x:v>46200</x:v>
      </x:c>
      <x:c r="B150" s="91" t="str">
        <x:v>模拟店 A（成熟商圈）</x:v>
      </x:c>
      <x:c r="C150" s="91" t="str">
        <x:v>成熟店</x:v>
      </x:c>
      <x:c r="D150" s="91" t="str">
        <x:v>粉蒸排骨</x:v>
      </x:c>
      <x:c r="E150" s="91" t="str">
        <x:v>晚市</x:v>
      </x:c>
      <x:c r="F150" s="91" t="str">
        <x:v>周末周六</x:v>
      </x:c>
      <x:c r="G150" s="91" t="str">
        <x:v>常温</x:v>
      </x:c>
      <x:c r="H150" s="91" t="str">
        <x:v>无</x:v>
      </x:c>
      <x:c r="I150" s="108" t="n">
        <x:v>48</x:v>
      </x:c>
      <x:c r="J150" s="108" t="n">
        <x:v>52</x:v>
      </x:c>
      <x:c r="K150" s="108" t="n">
        <x:v>52</x:v>
      </x:c>
      <x:c r="L150" s="108" t="n">
        <x:v>52</x:v>
      </x:c>
      <x:c r="M150" s="108" t="str">
        <x:v>沿用建议</x:v>
      </x:c>
      <x:c r="N150" s="108" t="n">
        <x:v>47</x:v>
      </x:c>
      <x:c r="O150" s="108" t="n">
        <x:v>62</x:v>
      </x:c>
      <x:c r="P150" s="108" t="n">
        <x:v>3</x:v>
      </x:c>
      <x:c r="Q150" s="91" t="str">
        <x:v>否</x:v>
      </x:c>
      <x:c r="R150" s="91" t="n">
        <x:v>0</x:v>
      </x:c>
      <x:c r="S150" s="91" t="str">
        <x:v>无</x:v>
      </x:c>
      <x:c r="T150" s="91" t="str">
        <x:v>模拟正常样本</x:v>
      </x:c>
      <x:c r="U150" s="91" t="n">
        <x:f>ABS(L150-N150)</x:f>
        <x:v>5</x:v>
      </x:c>
      <x:c r="V150" s="91" t="str">
        <x:f>IF(L150=K150,"沿用建议","人工调整")</x:f>
        <x:v>沿用建议</x:v>
      </x:c>
      <x:c r="W150" s="92" t="str">
        <x:f>IF(Q150="是","售罄风险",IF(P150&gt;3,"损耗风险","正常"))</x:f>
        <x:v>正常</x:v>
      </x:c>
    </x:row>
    <x:row r="151" ht="20" customHeight="1">
      <x:c r="A151" s="105" t="n">
        <x:v>46200</x:v>
      </x:c>
      <x:c r="B151" s="91" t="str">
        <x:v>模拟店 A（成熟商圈）</x:v>
      </x:c>
      <x:c r="C151" s="91" t="str">
        <x:v>成熟店</x:v>
      </x:c>
      <x:c r="D151" s="91" t="str">
        <x:v>桂花糖藕</x:v>
      </x:c>
      <x:c r="E151" s="91" t="str">
        <x:v>晚市</x:v>
      </x:c>
      <x:c r="F151" s="91" t="str">
        <x:v>周末周六</x:v>
      </x:c>
      <x:c r="G151" s="91" t="str">
        <x:v>常温</x:v>
      </x:c>
      <x:c r="H151" s="91" t="str">
        <x:v>无</x:v>
      </x:c>
      <x:c r="I151" s="108" t="n">
        <x:v>33</x:v>
      </x:c>
      <x:c r="J151" s="108" t="n">
        <x:v>38</x:v>
      </x:c>
      <x:c r="K151" s="108" t="n">
        <x:v>38</x:v>
      </x:c>
      <x:c r="L151" s="108" t="n">
        <x:v>36</x:v>
      </x:c>
      <x:c r="M151" s="108" t="str">
        <x:v>商圈活动临时变化</x:v>
      </x:c>
      <x:c r="N151" s="108" t="n">
        <x:v>36</x:v>
      </x:c>
      <x:c r="O151" s="108" t="n">
        <x:v>50</x:v>
      </x:c>
      <x:c r="P151" s="108" t="n">
        <x:v>0</x:v>
      </x:c>
      <x:c r="Q151" s="91" t="str">
        <x:v>否</x:v>
      </x:c>
      <x:c r="R151" s="91" t="n">
        <x:v>0</x:v>
      </x:c>
      <x:c r="S151" s="91" t="str">
        <x:v>无</x:v>
      </x:c>
      <x:c r="T151" s="91" t="str">
        <x:v>模拟正常样本</x:v>
      </x:c>
      <x:c r="U151" s="91" t="n">
        <x:f>ABS(L151-N151)</x:f>
        <x:v>0</x:v>
      </x:c>
      <x:c r="V151" s="91" t="str">
        <x:f>IF(L151=K151,"沿用建议","人工调整")</x:f>
        <x:v>人工调整</x:v>
      </x:c>
      <x:c r="W151" s="92" t="str">
        <x:f>IF(Q151="是","售罄风险",IF(P151&gt;3,"损耗风险","正常"))</x:f>
        <x:v>正常</x:v>
      </x:c>
    </x:row>
    <x:row r="152" ht="20" customHeight="1">
      <x:c r="A152" s="105" t="n">
        <x:v>46200</x:v>
      </x:c>
      <x:c r="B152" s="91" t="str">
        <x:v>模拟店 A（成熟商圈）</x:v>
      </x:c>
      <x:c r="C152" s="91" t="str">
        <x:v>成熟店</x:v>
      </x:c>
      <x:c r="D152" s="91" t="str">
        <x:v>藕夹</x:v>
      </x:c>
      <x:c r="E152" s="91" t="str">
        <x:v>晚市</x:v>
      </x:c>
      <x:c r="F152" s="91" t="str">
        <x:v>周末周六</x:v>
      </x:c>
      <x:c r="G152" s="91" t="str">
        <x:v>常温</x:v>
      </x:c>
      <x:c r="H152" s="91" t="str">
        <x:v>无</x:v>
      </x:c>
      <x:c r="I152" s="108" t="n">
        <x:v>39</x:v>
      </x:c>
      <x:c r="J152" s="108" t="n">
        <x:v>43</x:v>
      </x:c>
      <x:c r="K152" s="108" t="n">
        <x:v>43</x:v>
      </x:c>
      <x:c r="L152" s="108" t="n">
        <x:v>43</x:v>
      </x:c>
      <x:c r="M152" s="108" t="str">
        <x:v>沿用建议</x:v>
      </x:c>
      <x:c r="N152" s="108" t="n">
        <x:v>39</x:v>
      </x:c>
      <x:c r="O152" s="108" t="n">
        <x:v>55</x:v>
      </x:c>
      <x:c r="P152" s="108" t="n">
        <x:v>2</x:v>
      </x:c>
      <x:c r="Q152" s="91" t="str">
        <x:v>否</x:v>
      </x:c>
      <x:c r="R152" s="91" t="n">
        <x:v>2</x:v>
      </x:c>
      <x:c r="S152" s="91" t="str">
        <x:v>无</x:v>
      </x:c>
      <x:c r="T152" s="91" t="str">
        <x:v>模拟正常样本</x:v>
      </x:c>
      <x:c r="U152" s="91" t="n">
        <x:f>ABS(L152-N152)</x:f>
        <x:v>4</x:v>
      </x:c>
      <x:c r="V152" s="91" t="str">
        <x:f>IF(L152=K152,"沿用建议","人工调整")</x:f>
        <x:v>沿用建议</x:v>
      </x:c>
      <x:c r="W152" s="92" t="str">
        <x:f>IF(Q152="是","售罄风险",IF(P152&gt;3,"损耗风险","正常"))</x:f>
        <x:v>正常</x:v>
      </x:c>
    </x:row>
    <x:row r="153" ht="20" customHeight="1">
      <x:c r="A153" s="105" t="n">
        <x:v>46200</x:v>
      </x:c>
      <x:c r="B153" s="91" t="str">
        <x:v>模拟店 B（新开门店）</x:v>
      </x:c>
      <x:c r="C153" s="91" t="str">
        <x:v>新店</x:v>
      </x:c>
      <x:c r="D153" s="91" t="str">
        <x:v>筒骨煨藕汤</x:v>
      </x:c>
      <x:c r="E153" s="91" t="str">
        <x:v>晚市</x:v>
      </x:c>
      <x:c r="F153" s="91" t="str">
        <x:v>周末周六</x:v>
      </x:c>
      <x:c r="G153" s="91" t="str">
        <x:v>降温</x:v>
      </x:c>
      <x:c r="H153" s="91" t="str">
        <x:v>无</x:v>
      </x:c>
      <x:c r="I153" s="108" t="n">
        <x:v>62</x:v>
      </x:c>
      <x:c r="J153" s="108" t="n">
        <x:v>70</x:v>
      </x:c>
      <x:c r="K153" s="108" t="n">
        <x:v>70</x:v>
      </x:c>
      <x:c r="L153" s="108" t="n">
        <x:v>70</x:v>
      </x:c>
      <x:c r="M153" s="108" t="str">
        <x:v>沿用建议</x:v>
      </x:c>
      <x:c r="N153" s="108" t="n">
        <x:v>66</x:v>
      </x:c>
      <x:c r="O153" s="108" t="n">
        <x:v>84</x:v>
      </x:c>
      <x:c r="P153" s="108" t="n">
        <x:v>2</x:v>
      </x:c>
      <x:c r="Q153" s="91" t="str">
        <x:v>否</x:v>
      </x:c>
      <x:c r="R153" s="91" t="n">
        <x:v>2</x:v>
      </x:c>
      <x:c r="S153" s="91" t="str">
        <x:v>无</x:v>
      </x:c>
      <x:c r="T153" s="91" t="str">
        <x:v>模拟正常样本</x:v>
      </x:c>
      <x:c r="U153" s="91" t="n">
        <x:f>ABS(L153-N153)</x:f>
        <x:v>4</x:v>
      </x:c>
      <x:c r="V153" s="91" t="str">
        <x:f>IF(L153=K153,"沿用建议","人工调整")</x:f>
        <x:v>沿用建议</x:v>
      </x:c>
      <x:c r="W153" s="92" t="str">
        <x:f>IF(Q153="是","售罄风险",IF(P153&gt;3,"损耗风险","正常"))</x:f>
        <x:v>正常</x:v>
      </x:c>
    </x:row>
    <x:row r="154" ht="20" customHeight="1">
      <x:c r="A154" s="105" t="n">
        <x:v>46200</x:v>
      </x:c>
      <x:c r="B154" s="91" t="str">
        <x:v>模拟店 B（新开门店）</x:v>
      </x:c>
      <x:c r="C154" s="91" t="str">
        <x:v>新店</x:v>
      </x:c>
      <x:c r="D154" s="91" t="str">
        <x:v>粉蒸排骨</x:v>
      </x:c>
      <x:c r="E154" s="91" t="str">
        <x:v>晚市</x:v>
      </x:c>
      <x:c r="F154" s="91" t="str">
        <x:v>周末周六</x:v>
      </x:c>
      <x:c r="G154" s="91" t="str">
        <x:v>降温</x:v>
      </x:c>
      <x:c r="H154" s="91" t="str">
        <x:v>无</x:v>
      </x:c>
      <x:c r="I154" s="108" t="n">
        <x:v>34</x:v>
      </x:c>
      <x:c r="J154" s="108" t="n">
        <x:v>38</x:v>
      </x:c>
      <x:c r="K154" s="108" t="n">
        <x:v>38</x:v>
      </x:c>
      <x:c r="L154" s="108" t="n">
        <x:v>38</x:v>
      </x:c>
      <x:c r="M154" s="108" t="str">
        <x:v>沿用建议</x:v>
      </x:c>
      <x:c r="N154" s="108" t="n">
        <x:v>35</x:v>
      </x:c>
      <x:c r="O154" s="108" t="n">
        <x:v>49</x:v>
      </x:c>
      <x:c r="P154" s="108" t="n">
        <x:v>1</x:v>
      </x:c>
      <x:c r="Q154" s="91" t="str">
        <x:v>否</x:v>
      </x:c>
      <x:c r="R154" s="91" t="n">
        <x:v>2</x:v>
      </x:c>
      <x:c r="S154" s="91" t="str">
        <x:v>无</x:v>
      </x:c>
      <x:c r="T154" s="91" t="str">
        <x:v>模拟正常样本</x:v>
      </x:c>
      <x:c r="U154" s="91" t="n">
        <x:f>ABS(L154-N154)</x:f>
        <x:v>3</x:v>
      </x:c>
      <x:c r="V154" s="91" t="str">
        <x:f>IF(L154=K154,"沿用建议","人工调整")</x:f>
        <x:v>沿用建议</x:v>
      </x:c>
      <x:c r="W154" s="92" t="str">
        <x:f>IF(Q154="是","售罄风险",IF(P154&gt;3,"损耗风险","正常"))</x:f>
        <x:v>正常</x:v>
      </x:c>
    </x:row>
    <x:row r="155" ht="20" customHeight="1">
      <x:c r="A155" s="105" t="n">
        <x:v>46200</x:v>
      </x:c>
      <x:c r="B155" s="91" t="str">
        <x:v>模拟店 B（新开门店）</x:v>
      </x:c>
      <x:c r="C155" s="91" t="str">
        <x:v>新店</x:v>
      </x:c>
      <x:c r="D155" s="91" t="str">
        <x:v>桂花糖藕</x:v>
      </x:c>
      <x:c r="E155" s="91" t="str">
        <x:v>晚市</x:v>
      </x:c>
      <x:c r="F155" s="91" t="str">
        <x:v>周末周六</x:v>
      </x:c>
      <x:c r="G155" s="91" t="str">
        <x:v>降温</x:v>
      </x:c>
      <x:c r="H155" s="91" t="str">
        <x:v>无</x:v>
      </x:c>
      <x:c r="I155" s="108" t="n">
        <x:v>24</x:v>
      </x:c>
      <x:c r="J155" s="108" t="n">
        <x:v>28</x:v>
      </x:c>
      <x:c r="K155" s="108" t="n">
        <x:v>28</x:v>
      </x:c>
      <x:c r="L155" s="108" t="n">
        <x:v>28</x:v>
      </x:c>
      <x:c r="M155" s="108" t="str">
        <x:v>沿用建议</x:v>
      </x:c>
      <x:c r="N155" s="108" t="n">
        <x:v>22</x:v>
      </x:c>
      <x:c r="O155" s="108" t="n">
        <x:v>35</x:v>
      </x:c>
      <x:c r="P155" s="108" t="n">
        <x:v>5</x:v>
      </x:c>
      <x:c r="Q155" s="91" t="str">
        <x:v>否</x:v>
      </x:c>
      <x:c r="R155" s="91" t="n">
        <x:v>2</x:v>
      </x:c>
      <x:c r="S155" s="91" t="str">
        <x:v>无</x:v>
      </x:c>
      <x:c r="T155" s="91" t="str">
        <x:v>模拟正常样本</x:v>
      </x:c>
      <x:c r="U155" s="91" t="n">
        <x:f>ABS(L155-N155)</x:f>
        <x:v>6</x:v>
      </x:c>
      <x:c r="V155" s="91" t="str">
        <x:f>IF(L155=K155,"沿用建议","人工调整")</x:f>
        <x:v>沿用建议</x:v>
      </x:c>
      <x:c r="W155" s="92" t="str">
        <x:f>IF(Q155="是","售罄风险",IF(P155&gt;3,"损耗风险","正常"))</x:f>
        <x:v>损耗风险</x:v>
      </x:c>
    </x:row>
    <x:row r="156" ht="20" customHeight="1">
      <x:c r="A156" s="105" t="n">
        <x:v>46200</x:v>
      </x:c>
      <x:c r="B156" s="91" t="str">
        <x:v>模拟店 B（新开门店）</x:v>
      </x:c>
      <x:c r="C156" s="91" t="str">
        <x:v>新店</x:v>
      </x:c>
      <x:c r="D156" s="91" t="str">
        <x:v>藕夹</x:v>
      </x:c>
      <x:c r="E156" s="91" t="str">
        <x:v>晚市</x:v>
      </x:c>
      <x:c r="F156" s="91" t="str">
        <x:v>周末周六</x:v>
      </x:c>
      <x:c r="G156" s="91" t="str">
        <x:v>降温</x:v>
      </x:c>
      <x:c r="H156" s="91" t="str">
        <x:v>无</x:v>
      </x:c>
      <x:c r="I156" s="108" t="n">
        <x:v>30</x:v>
      </x:c>
      <x:c r="J156" s="108" t="n">
        <x:v>34</x:v>
      </x:c>
      <x:c r="K156" s="108" t="n">
        <x:v>34</x:v>
      </x:c>
      <x:c r="L156" s="108" t="n">
        <x:v>34</x:v>
      </x:c>
      <x:c r="M156" s="108" t="str">
        <x:v>沿用建议</x:v>
      </x:c>
      <x:c r="N156" s="108" t="n">
        <x:v>30</x:v>
      </x:c>
      <x:c r="O156" s="108" t="n">
        <x:v>46</x:v>
      </x:c>
      <x:c r="P156" s="108" t="n">
        <x:v>2</x:v>
      </x:c>
      <x:c r="Q156" s="91" t="str">
        <x:v>否</x:v>
      </x:c>
      <x:c r="R156" s="91" t="n">
        <x:v>3</x:v>
      </x:c>
      <x:c r="S156" s="91" t="str">
        <x:v>待复核</x:v>
      </x:c>
      <x:c r="T156" s="91" t="str">
        <x:v>关联异常处置日志</x:v>
      </x:c>
      <x:c r="U156" s="91" t="n">
        <x:f>ABS(L156-N156)</x:f>
        <x:v>4</x:v>
      </x:c>
      <x:c r="V156" s="91" t="str">
        <x:f>IF(L156=K156,"沿用建议","人工调整")</x:f>
        <x:v>沿用建议</x:v>
      </x:c>
      <x:c r="W156" s="92" t="str">
        <x:f>IF(Q156="是","售罄风险",IF(P156&gt;3,"损耗风险","正常"))</x:f>
        <x:v>正常</x:v>
      </x:c>
    </x:row>
    <x:row r="157" ht="20" customHeight="1">
      <x:c r="A157" s="105" t="n">
        <x:v>46200</x:v>
      </x:c>
      <x:c r="B157" s="91" t="str">
        <x:v>模拟店 C（社区门店）</x:v>
      </x:c>
      <x:c r="C157" s="91" t="str">
        <x:v>成长期</x:v>
      </x:c>
      <x:c r="D157" s="91" t="str">
        <x:v>筒骨煨藕汤</x:v>
      </x:c>
      <x:c r="E157" s="91" t="str">
        <x:v>晚市</x:v>
      </x:c>
      <x:c r="F157" s="91" t="str">
        <x:v>周末周六</x:v>
      </x:c>
      <x:c r="G157" s="91" t="str">
        <x:v>常温</x:v>
      </x:c>
      <x:c r="H157" s="91" t="str">
        <x:v>无</x:v>
      </x:c>
      <x:c r="I157" s="108" t="n">
        <x:v>65</x:v>
      </x:c>
      <x:c r="J157" s="108" t="n">
        <x:v>73</x:v>
      </x:c>
      <x:c r="K157" s="108" t="n">
        <x:v>73</x:v>
      </x:c>
      <x:c r="L157" s="108" t="n">
        <x:v>73</x:v>
      </x:c>
      <x:c r="M157" s="108" t="str">
        <x:v>沿用建议</x:v>
      </x:c>
      <x:c r="N157" s="108" t="n">
        <x:v>65</x:v>
      </x:c>
      <x:c r="O157" s="108" t="n">
        <x:v>83</x:v>
      </x:c>
      <x:c r="P157" s="108" t="n">
        <x:v>6</x:v>
      </x:c>
      <x:c r="Q157" s="91" t="str">
        <x:v>否</x:v>
      </x:c>
      <x:c r="R157" s="91" t="n">
        <x:v>0</x:v>
      </x:c>
      <x:c r="S157" s="91" t="str">
        <x:v>无</x:v>
      </x:c>
      <x:c r="T157" s="91" t="str">
        <x:v>模拟正常样本</x:v>
      </x:c>
      <x:c r="U157" s="91" t="n">
        <x:f>ABS(L157-N157)</x:f>
        <x:v>8</x:v>
      </x:c>
      <x:c r="V157" s="91" t="str">
        <x:f>IF(L157=K157,"沿用建议","人工调整")</x:f>
        <x:v>沿用建议</x:v>
      </x:c>
      <x:c r="W157" s="92" t="str">
        <x:f>IF(Q157="是","售罄风险",IF(P157&gt;3,"损耗风险","正常"))</x:f>
        <x:v>损耗风险</x:v>
      </x:c>
    </x:row>
    <x:row r="158" ht="20" customHeight="1">
      <x:c r="A158" s="105" t="n">
        <x:v>46200</x:v>
      </x:c>
      <x:c r="B158" s="91" t="str">
        <x:v>模拟店 C（社区门店）</x:v>
      </x:c>
      <x:c r="C158" s="91" t="str">
        <x:v>成长期</x:v>
      </x:c>
      <x:c r="D158" s="91" t="str">
        <x:v>粉蒸排骨</x:v>
      </x:c>
      <x:c r="E158" s="91" t="str">
        <x:v>晚市</x:v>
      </x:c>
      <x:c r="F158" s="91" t="str">
        <x:v>周末周六</x:v>
      </x:c>
      <x:c r="G158" s="91" t="str">
        <x:v>常温</x:v>
      </x:c>
      <x:c r="H158" s="91" t="str">
        <x:v>无</x:v>
      </x:c>
      <x:c r="I158" s="108" t="n">
        <x:v>40</x:v>
      </x:c>
      <x:c r="J158" s="108" t="n">
        <x:v>44</x:v>
      </x:c>
      <x:c r="K158" s="108" t="n">
        <x:v>44</x:v>
      </x:c>
      <x:c r="L158" s="108" t="n">
        <x:v>44</x:v>
      </x:c>
      <x:c r="M158" s="108" t="str">
        <x:v>沿用建议</x:v>
      </x:c>
      <x:c r="N158" s="108" t="n">
        <x:v>37</x:v>
      </x:c>
      <x:c r="O158" s="108" t="n">
        <x:v>58</x:v>
      </x:c>
      <x:c r="P158" s="108" t="n">
        <x:v>5</x:v>
      </x:c>
      <x:c r="Q158" s="91" t="str">
        <x:v>否</x:v>
      </x:c>
      <x:c r="R158" s="91" t="n">
        <x:v>3</x:v>
      </x:c>
      <x:c r="S158" s="91" t="str">
        <x:v>无</x:v>
      </x:c>
      <x:c r="T158" s="91" t="str">
        <x:v>模拟正常样本</x:v>
      </x:c>
      <x:c r="U158" s="91" t="n">
        <x:f>ABS(L158-N158)</x:f>
        <x:v>7</x:v>
      </x:c>
      <x:c r="V158" s="91" t="str">
        <x:f>IF(L158=K158,"沿用建议","人工调整")</x:f>
        <x:v>沿用建议</x:v>
      </x:c>
      <x:c r="W158" s="92" t="str">
        <x:f>IF(Q158="是","售罄风险",IF(P158&gt;3,"损耗风险","正常"))</x:f>
        <x:v>损耗风险</x:v>
      </x:c>
    </x:row>
    <x:row r="159" ht="20" customHeight="1">
      <x:c r="A159" s="105" t="n">
        <x:v>46200</x:v>
      </x:c>
      <x:c r="B159" s="91" t="str">
        <x:v>模拟店 C（社区门店）</x:v>
      </x:c>
      <x:c r="C159" s="91" t="str">
        <x:v>成长期</x:v>
      </x:c>
      <x:c r="D159" s="91" t="str">
        <x:v>桂花糖藕</x:v>
      </x:c>
      <x:c r="E159" s="91" t="str">
        <x:v>晚市</x:v>
      </x:c>
      <x:c r="F159" s="91" t="str">
        <x:v>周末周六</x:v>
      </x:c>
      <x:c r="G159" s="91" t="str">
        <x:v>常温</x:v>
      </x:c>
      <x:c r="H159" s="91" t="str">
        <x:v>无</x:v>
      </x:c>
      <x:c r="I159" s="108" t="n">
        <x:v>26</x:v>
      </x:c>
      <x:c r="J159" s="108" t="n">
        <x:v>30</x:v>
      </x:c>
      <x:c r="K159" s="108" t="n">
        <x:v>30</x:v>
      </x:c>
      <x:c r="L159" s="108" t="n">
        <x:v>30</x:v>
      </x:c>
      <x:c r="M159" s="108" t="str">
        <x:v>沿用建议</x:v>
      </x:c>
      <x:c r="N159" s="108" t="n">
        <x:v>29</x:v>
      </x:c>
      <x:c r="O159" s="108" t="n">
        <x:v>45</x:v>
      </x:c>
      <x:c r="P159" s="108" t="n">
        <x:v>0</x:v>
      </x:c>
      <x:c r="Q159" s="91" t="str">
        <x:v>否</x:v>
      </x:c>
      <x:c r="R159" s="91" t="n">
        <x:v>2</x:v>
      </x:c>
      <x:c r="S159" s="91" t="str">
        <x:v>无</x:v>
      </x:c>
      <x:c r="T159" s="91" t="str">
        <x:v>模拟正常样本</x:v>
      </x:c>
      <x:c r="U159" s="91" t="n">
        <x:f>ABS(L159-N159)</x:f>
        <x:v>1</x:v>
      </x:c>
      <x:c r="V159" s="91" t="str">
        <x:f>IF(L159=K159,"沿用建议","人工调整")</x:f>
        <x:v>沿用建议</x:v>
      </x:c>
      <x:c r="W159" s="92" t="str">
        <x:f>IF(Q159="是","售罄风险",IF(P159&gt;3,"损耗风险","正常"))</x:f>
        <x:v>正常</x:v>
      </x:c>
    </x:row>
    <x:row r="160" ht="20" customHeight="1">
      <x:c r="A160" s="105" t="n">
        <x:v>46200</x:v>
      </x:c>
      <x:c r="B160" s="91" t="str">
        <x:v>模拟店 C（社区门店）</x:v>
      </x:c>
      <x:c r="C160" s="91" t="str">
        <x:v>成长期</x:v>
      </x:c>
      <x:c r="D160" s="91" t="str">
        <x:v>藕夹</x:v>
      </x:c>
      <x:c r="E160" s="91" t="str">
        <x:v>晚市</x:v>
      </x:c>
      <x:c r="F160" s="91" t="str">
        <x:v>周末周六</x:v>
      </x:c>
      <x:c r="G160" s="91" t="str">
        <x:v>常温</x:v>
      </x:c>
      <x:c r="H160" s="91" t="str">
        <x:v>无</x:v>
      </x:c>
      <x:c r="I160" s="108" t="n">
        <x:v>32</x:v>
      </x:c>
      <x:c r="J160" s="108" t="n">
        <x:v>36</x:v>
      </x:c>
      <x:c r="K160" s="108" t="n">
        <x:v>36</x:v>
      </x:c>
      <x:c r="L160" s="108" t="n">
        <x:v>39</x:v>
      </x:c>
      <x:c r="M160" s="108" t="str">
        <x:v>商圈活动临时变化</x:v>
      </x:c>
      <x:c r="N160" s="108" t="n">
        <x:v>35</x:v>
      </x:c>
      <x:c r="O160" s="108" t="n">
        <x:v>44</x:v>
      </x:c>
      <x:c r="P160" s="108" t="n">
        <x:v>2</x:v>
      </x:c>
      <x:c r="Q160" s="91" t="str">
        <x:v>否</x:v>
      </x:c>
      <x:c r="R160" s="91" t="n">
        <x:v>2</x:v>
      </x:c>
      <x:c r="S160" s="91" t="str">
        <x:v>无</x:v>
      </x:c>
      <x:c r="T160" s="91" t="str">
        <x:v>模拟正常样本</x:v>
      </x:c>
      <x:c r="U160" s="91" t="n">
        <x:f>ABS(L160-N160)</x:f>
        <x:v>4</x:v>
      </x:c>
      <x:c r="V160" s="91" t="str">
        <x:f>IF(L160=K160,"沿用建议","人工调整")</x:f>
        <x:v>人工调整</x:v>
      </x:c>
      <x:c r="W160" s="92" t="str">
        <x:f>IF(Q160="是","售罄风险",IF(P160&gt;3,"损耗风险","正常"))</x:f>
        <x:v>正常</x:v>
      </x:c>
    </x:row>
    <x:row r="161" ht="20" customHeight="1">
      <x:c r="A161" s="105" t="n">
        <x:v>46201</x:v>
      </x:c>
      <x:c r="B161" s="91" t="str">
        <x:v>模拟店 A（成熟商圈）</x:v>
      </x:c>
      <x:c r="C161" s="91" t="str">
        <x:v>成熟店</x:v>
      </x:c>
      <x:c r="D161" s="91" t="str">
        <x:v>筒骨煨藕汤</x:v>
      </x:c>
      <x:c r="E161" s="91" t="str">
        <x:v>晚市</x:v>
      </x:c>
      <x:c r="F161" s="91" t="str">
        <x:v>周末周日</x:v>
      </x:c>
      <x:c r="G161" s="91" t="str">
        <x:v>降温</x:v>
      </x:c>
      <x:c r="H161" s="91" t="str">
        <x:v>商圈活动</x:v>
      </x:c>
      <x:c r="I161" s="108" t="n">
        <x:v>91</x:v>
      </x:c>
      <x:c r="J161" s="108" t="n">
        <x:v>101</x:v>
      </x:c>
      <x:c r="K161" s="108" t="n">
        <x:v>101</x:v>
      </x:c>
      <x:c r="L161" s="108" t="n">
        <x:v>101</x:v>
      </x:c>
      <x:c r="M161" s="108" t="str">
        <x:v>沿用建议</x:v>
      </x:c>
      <x:c r="N161" s="108" t="n">
        <x:v>99</x:v>
      </x:c>
      <x:c r="O161" s="108" t="n">
        <x:v>110</x:v>
      </x:c>
      <x:c r="P161" s="108" t="n">
        <x:v>0</x:v>
      </x:c>
      <x:c r="Q161" s="91" t="str">
        <x:v>否</x:v>
      </x:c>
      <x:c r="R161" s="91" t="n">
        <x:v>1</x:v>
      </x:c>
      <x:c r="S161" s="91" t="str">
        <x:v>无</x:v>
      </x:c>
      <x:c r="T161" s="91" t="str">
        <x:v>模拟正常样本</x:v>
      </x:c>
      <x:c r="U161" s="91" t="n">
        <x:f>ABS(L161-N161)</x:f>
        <x:v>2</x:v>
      </x:c>
      <x:c r="V161" s="91" t="str">
        <x:f>IF(L161=K161,"沿用建议","人工调整")</x:f>
        <x:v>沿用建议</x:v>
      </x:c>
      <x:c r="W161" s="92" t="str">
        <x:f>IF(Q161="是","售罄风险",IF(P161&gt;3,"损耗风险","正常"))</x:f>
        <x:v>正常</x:v>
      </x:c>
    </x:row>
    <x:row r="162" ht="20" customHeight="1">
      <x:c r="A162" s="105" t="n">
        <x:v>46201</x:v>
      </x:c>
      <x:c r="B162" s="91" t="str">
        <x:v>模拟店 A（成熟商圈）</x:v>
      </x:c>
      <x:c r="C162" s="91" t="str">
        <x:v>成熟店</x:v>
      </x:c>
      <x:c r="D162" s="91" t="str">
        <x:v>粉蒸排骨</x:v>
      </x:c>
      <x:c r="E162" s="91" t="str">
        <x:v>晚市</x:v>
      </x:c>
      <x:c r="F162" s="91" t="str">
        <x:v>周末周日</x:v>
      </x:c>
      <x:c r="G162" s="91" t="str">
        <x:v>降温</x:v>
      </x:c>
      <x:c r="H162" s="91" t="str">
        <x:v>商圈活动</x:v>
      </x:c>
      <x:c r="I162" s="108" t="n">
        <x:v>53</x:v>
      </x:c>
      <x:c r="J162" s="108" t="n">
        <x:v>58</x:v>
      </x:c>
      <x:c r="K162" s="108" t="n">
        <x:v>58</x:v>
      </x:c>
      <x:c r="L162" s="108" t="n">
        <x:v>58</x:v>
      </x:c>
      <x:c r="M162" s="108" t="str">
        <x:v>沿用建议</x:v>
      </x:c>
      <x:c r="N162" s="108" t="n">
        <x:v>56</x:v>
      </x:c>
      <x:c r="O162" s="108" t="n">
        <x:v>72</x:v>
      </x:c>
      <x:c r="P162" s="108" t="n">
        <x:v>0</x:v>
      </x:c>
      <x:c r="Q162" s="91" t="str">
        <x:v>否</x:v>
      </x:c>
      <x:c r="R162" s="91" t="n">
        <x:v>1</x:v>
      </x:c>
      <x:c r="S162" s="91" t="str">
        <x:v>无</x:v>
      </x:c>
      <x:c r="T162" s="91" t="str">
        <x:v>模拟正常样本</x:v>
      </x:c>
      <x:c r="U162" s="91" t="n">
        <x:f>ABS(L162-N162)</x:f>
        <x:v>2</x:v>
      </x:c>
      <x:c r="V162" s="91" t="str">
        <x:f>IF(L162=K162,"沿用建议","人工调整")</x:f>
        <x:v>沿用建议</x:v>
      </x:c>
      <x:c r="W162" s="92" t="str">
        <x:f>IF(Q162="是","售罄风险",IF(P162&gt;3,"损耗风险","正常"))</x:f>
        <x:v>正常</x:v>
      </x:c>
    </x:row>
    <x:row r="163" ht="20" customHeight="1">
      <x:c r="A163" s="105" t="n">
        <x:v>46201</x:v>
      </x:c>
      <x:c r="B163" s="91" t="str">
        <x:v>模拟店 A（成熟商圈）</x:v>
      </x:c>
      <x:c r="C163" s="91" t="str">
        <x:v>成熟店</x:v>
      </x:c>
      <x:c r="D163" s="91" t="str">
        <x:v>桂花糖藕</x:v>
      </x:c>
      <x:c r="E163" s="91" t="str">
        <x:v>晚市</x:v>
      </x:c>
      <x:c r="F163" s="91" t="str">
        <x:v>周末周日</x:v>
      </x:c>
      <x:c r="G163" s="91" t="str">
        <x:v>降温</x:v>
      </x:c>
      <x:c r="H163" s="91" t="str">
        <x:v>商圈活动</x:v>
      </x:c>
      <x:c r="I163" s="108" t="n">
        <x:v>33</x:v>
      </x:c>
      <x:c r="J163" s="108" t="n">
        <x:v>38</x:v>
      </x:c>
      <x:c r="K163" s="108" t="n">
        <x:v>38</x:v>
      </x:c>
      <x:c r="L163" s="108" t="n">
        <x:v>38</x:v>
      </x:c>
      <x:c r="M163" s="108" t="str">
        <x:v>沿用建议</x:v>
      </x:c>
      <x:c r="N163" s="108" t="n">
        <x:v>36</x:v>
      </x:c>
      <x:c r="O163" s="108" t="n">
        <x:v>53</x:v>
      </x:c>
      <x:c r="P163" s="108" t="n">
        <x:v>1</x:v>
      </x:c>
      <x:c r="Q163" s="91" t="str">
        <x:v>否</x:v>
      </x:c>
      <x:c r="R163" s="91" t="n">
        <x:v>1</x:v>
      </x:c>
      <x:c r="S163" s="91" t="str">
        <x:v>无</x:v>
      </x:c>
      <x:c r="T163" s="91" t="str">
        <x:v>模拟正常样本</x:v>
      </x:c>
      <x:c r="U163" s="91" t="n">
        <x:f>ABS(L163-N163)</x:f>
        <x:v>2</x:v>
      </x:c>
      <x:c r="V163" s="91" t="str">
        <x:f>IF(L163=K163,"沿用建议","人工调整")</x:f>
        <x:v>沿用建议</x:v>
      </x:c>
      <x:c r="W163" s="92" t="str">
        <x:f>IF(Q163="是","售罄风险",IF(P163&gt;3,"损耗风险","正常"))</x:f>
        <x:v>正常</x:v>
      </x:c>
    </x:row>
    <x:row r="164" ht="20" customHeight="1">
      <x:c r="A164" s="105" t="n">
        <x:v>46201</x:v>
      </x:c>
      <x:c r="B164" s="91" t="str">
        <x:v>模拟店 A（成熟商圈）</x:v>
      </x:c>
      <x:c r="C164" s="91" t="str">
        <x:v>成熟店</x:v>
      </x:c>
      <x:c r="D164" s="91" t="str">
        <x:v>藕夹</x:v>
      </x:c>
      <x:c r="E164" s="91" t="str">
        <x:v>晚市</x:v>
      </x:c>
      <x:c r="F164" s="91" t="str">
        <x:v>周末周日</x:v>
      </x:c>
      <x:c r="G164" s="91" t="str">
        <x:v>降温</x:v>
      </x:c>
      <x:c r="H164" s="91" t="str">
        <x:v>商圈活动</x:v>
      </x:c>
      <x:c r="I164" s="108" t="n">
        <x:v>41</x:v>
      </x:c>
      <x:c r="J164" s="108" t="n">
        <x:v>45</x:v>
      </x:c>
      <x:c r="K164" s="108" t="n">
        <x:v>45</x:v>
      </x:c>
      <x:c r="L164" s="108" t="n">
        <x:v>45</x:v>
      </x:c>
      <x:c r="M164" s="108" t="str">
        <x:v>沿用建议</x:v>
      </x:c>
      <x:c r="N164" s="108" t="n">
        <x:v>39</x:v>
      </x:c>
      <x:c r="O164" s="108" t="n">
        <x:v>60</x:v>
      </x:c>
      <x:c r="P164" s="108" t="n">
        <x:v>4</x:v>
      </x:c>
      <x:c r="Q164" s="91" t="str">
        <x:v>否</x:v>
      </x:c>
      <x:c r="R164" s="91" t="n">
        <x:v>0</x:v>
      </x:c>
      <x:c r="S164" s="91" t="str">
        <x:v>待复核</x:v>
      </x:c>
      <x:c r="T164" s="91" t="str">
        <x:v>关联异常处置日志</x:v>
      </x:c>
      <x:c r="U164" s="91" t="n">
        <x:f>ABS(L164-N164)</x:f>
        <x:v>6</x:v>
      </x:c>
      <x:c r="V164" s="91" t="str">
        <x:f>IF(L164=K164,"沿用建议","人工调整")</x:f>
        <x:v>沿用建议</x:v>
      </x:c>
      <x:c r="W164" s="92" t="str">
        <x:f>IF(Q164="是","售罄风险",IF(P164&gt;3,"损耗风险","正常"))</x:f>
        <x:v>损耗风险</x:v>
      </x:c>
    </x:row>
    <x:row r="165" ht="20" customHeight="1">
      <x:c r="A165" s="105" t="n">
        <x:v>46201</x:v>
      </x:c>
      <x:c r="B165" s="91" t="str">
        <x:v>模拟店 B（新开门店）</x:v>
      </x:c>
      <x:c r="C165" s="91" t="str">
        <x:v>新店</x:v>
      </x:c>
      <x:c r="D165" s="91" t="str">
        <x:v>筒骨煨藕汤</x:v>
      </x:c>
      <x:c r="E165" s="91" t="str">
        <x:v>晚市</x:v>
      </x:c>
      <x:c r="F165" s="91" t="str">
        <x:v>周末周日</x:v>
      </x:c>
      <x:c r="G165" s="91" t="str">
        <x:v>常温</x:v>
      </x:c>
      <x:c r="H165" s="91" t="str">
        <x:v>商圈活动</x:v>
      </x:c>
      <x:c r="I165" s="108" t="n">
        <x:v>63</x:v>
      </x:c>
      <x:c r="J165" s="108" t="n">
        <x:v>71</x:v>
      </x:c>
      <x:c r="K165" s="108" t="n">
        <x:v>71</x:v>
      </x:c>
      <x:c r="L165" s="108" t="n">
        <x:v>71</x:v>
      </x:c>
      <x:c r="M165" s="108" t="str">
        <x:v>沿用建议</x:v>
      </x:c>
      <x:c r="N165" s="108" t="n">
        <x:v>65</x:v>
      </x:c>
      <x:c r="O165" s="108" t="n">
        <x:v>80</x:v>
      </x:c>
      <x:c r="P165" s="108" t="n">
        <x:v>4</x:v>
      </x:c>
      <x:c r="Q165" s="91" t="str">
        <x:v>否</x:v>
      </x:c>
      <x:c r="R165" s="91" t="n">
        <x:v>2</x:v>
      </x:c>
      <x:c r="S165" s="91" t="str">
        <x:v>无</x:v>
      </x:c>
      <x:c r="T165" s="91" t="str">
        <x:v>模拟正常样本</x:v>
      </x:c>
      <x:c r="U165" s="91" t="n">
        <x:f>ABS(L165-N165)</x:f>
        <x:v>6</x:v>
      </x:c>
      <x:c r="V165" s="91" t="str">
        <x:f>IF(L165=K165,"沿用建议","人工调整")</x:f>
        <x:v>沿用建议</x:v>
      </x:c>
      <x:c r="W165" s="92" t="str">
        <x:f>IF(Q165="是","售罄风险",IF(P165&gt;3,"损耗风险","正常"))</x:f>
        <x:v>损耗风险</x:v>
      </x:c>
    </x:row>
    <x:row r="166" ht="20" customHeight="1">
      <x:c r="A166" s="105" t="n">
        <x:v>46201</x:v>
      </x:c>
      <x:c r="B166" s="91" t="str">
        <x:v>模拟店 B（新开门店）</x:v>
      </x:c>
      <x:c r="C166" s="91" t="str">
        <x:v>新店</x:v>
      </x:c>
      <x:c r="D166" s="91" t="str">
        <x:v>粉蒸排骨</x:v>
      </x:c>
      <x:c r="E166" s="91" t="str">
        <x:v>晚市</x:v>
      </x:c>
      <x:c r="F166" s="91" t="str">
        <x:v>周末周日</x:v>
      </x:c>
      <x:c r="G166" s="91" t="str">
        <x:v>常温</x:v>
      </x:c>
      <x:c r="H166" s="91" t="str">
        <x:v>商圈活动</x:v>
      </x:c>
      <x:c r="I166" s="108" t="n">
        <x:v>38</x:v>
      </x:c>
      <x:c r="J166" s="108" t="n">
        <x:v>42</x:v>
      </x:c>
      <x:c r="K166" s="108" t="n">
        <x:v>42</x:v>
      </x:c>
      <x:c r="L166" s="108" t="n">
        <x:v>42</x:v>
      </x:c>
      <x:c r="M166" s="108" t="str">
        <x:v>沿用建议</x:v>
      </x:c>
      <x:c r="N166" s="108" t="n">
        <x:v>38</x:v>
      </x:c>
      <x:c r="O166" s="108" t="n">
        <x:v>50</x:v>
      </x:c>
      <x:c r="P166" s="108" t="n">
        <x:v>2</x:v>
      </x:c>
      <x:c r="Q166" s="91" t="str">
        <x:v>否</x:v>
      </x:c>
      <x:c r="R166" s="91" t="n">
        <x:v>1</x:v>
      </x:c>
      <x:c r="S166" s="91" t="str">
        <x:v>无</x:v>
      </x:c>
      <x:c r="T166" s="91" t="str">
        <x:v>模拟正常样本</x:v>
      </x:c>
      <x:c r="U166" s="91" t="n">
        <x:f>ABS(L166-N166)</x:f>
        <x:v>4</x:v>
      </x:c>
      <x:c r="V166" s="91" t="str">
        <x:f>IF(L166=K166,"沿用建议","人工调整")</x:f>
        <x:v>沿用建议</x:v>
      </x:c>
      <x:c r="W166" s="92" t="str">
        <x:f>IF(Q166="是","售罄风险",IF(P166&gt;3,"损耗风险","正常"))</x:f>
        <x:v>正常</x:v>
      </x:c>
    </x:row>
    <x:row r="167" ht="20" customHeight="1">
      <x:c r="A167" s="105" t="n">
        <x:v>46201</x:v>
      </x:c>
      <x:c r="B167" s="91" t="str">
        <x:v>模拟店 B（新开门店）</x:v>
      </x:c>
      <x:c r="C167" s="91" t="str">
        <x:v>新店</x:v>
      </x:c>
      <x:c r="D167" s="91" t="str">
        <x:v>桂花糖藕</x:v>
      </x:c>
      <x:c r="E167" s="91" t="str">
        <x:v>晚市</x:v>
      </x:c>
      <x:c r="F167" s="91" t="str">
        <x:v>周末周日</x:v>
      </x:c>
      <x:c r="G167" s="91" t="str">
        <x:v>常温</x:v>
      </x:c>
      <x:c r="H167" s="91" t="str">
        <x:v>商圈活动</x:v>
      </x:c>
      <x:c r="I167" s="108" t="n">
        <x:v>25</x:v>
      </x:c>
      <x:c r="J167" s="108" t="n">
        <x:v>29</x:v>
      </x:c>
      <x:c r="K167" s="108" t="n">
        <x:v>29</x:v>
      </x:c>
      <x:c r="L167" s="108" t="n">
        <x:v>29</x:v>
      </x:c>
      <x:c r="M167" s="108" t="str">
        <x:v>沿用建议</x:v>
      </x:c>
      <x:c r="N167" s="108" t="n">
        <x:v>27</x:v>
      </x:c>
      <x:c r="O167" s="108" t="n">
        <x:v>44</x:v>
      </x:c>
      <x:c r="P167" s="108" t="n">
        <x:v>1</x:v>
      </x:c>
      <x:c r="Q167" s="91" t="str">
        <x:v>否</x:v>
      </x:c>
      <x:c r="R167" s="91" t="n">
        <x:v>2</x:v>
      </x:c>
      <x:c r="S167" s="91" t="str">
        <x:v>无</x:v>
      </x:c>
      <x:c r="T167" s="91" t="str">
        <x:v>模拟正常样本</x:v>
      </x:c>
      <x:c r="U167" s="91" t="n">
        <x:f>ABS(L167-N167)</x:f>
        <x:v>2</x:v>
      </x:c>
      <x:c r="V167" s="91" t="str">
        <x:f>IF(L167=K167,"沿用建议","人工调整")</x:f>
        <x:v>沿用建议</x:v>
      </x:c>
      <x:c r="W167" s="92" t="str">
        <x:f>IF(Q167="是","售罄风险",IF(P167&gt;3,"损耗风险","正常"))</x:f>
        <x:v>正常</x:v>
      </x:c>
    </x:row>
    <x:row r="168" ht="20" customHeight="1">
      <x:c r="A168" s="105" t="n">
        <x:v>46201</x:v>
      </x:c>
      <x:c r="B168" s="91" t="str">
        <x:v>模拟店 B（新开门店）</x:v>
      </x:c>
      <x:c r="C168" s="91" t="str">
        <x:v>新店</x:v>
      </x:c>
      <x:c r="D168" s="91" t="str">
        <x:v>藕夹</x:v>
      </x:c>
      <x:c r="E168" s="91" t="str">
        <x:v>晚市</x:v>
      </x:c>
      <x:c r="F168" s="91" t="str">
        <x:v>周末周日</x:v>
      </x:c>
      <x:c r="G168" s="91" t="str">
        <x:v>常温</x:v>
      </x:c>
      <x:c r="H168" s="91" t="str">
        <x:v>商圈活动</x:v>
      </x:c>
      <x:c r="I168" s="108" t="n">
        <x:v>32</x:v>
      </x:c>
      <x:c r="J168" s="108" t="n">
        <x:v>36</x:v>
      </x:c>
      <x:c r="K168" s="108" t="n">
        <x:v>36</x:v>
      </x:c>
      <x:c r="L168" s="108" t="n">
        <x:v>36</x:v>
      </x:c>
      <x:c r="M168" s="108" t="str">
        <x:v>沿用建议</x:v>
      </x:c>
      <x:c r="N168" s="108" t="n">
        <x:v>31</x:v>
      </x:c>
      <x:c r="O168" s="108" t="n">
        <x:v>48</x:v>
      </x:c>
      <x:c r="P168" s="108" t="n">
        <x:v>3</x:v>
      </x:c>
      <x:c r="Q168" s="91" t="str">
        <x:v>否</x:v>
      </x:c>
      <x:c r="R168" s="91" t="n">
        <x:v>2</x:v>
      </x:c>
      <x:c r="S168" s="91" t="str">
        <x:v>无</x:v>
      </x:c>
      <x:c r="T168" s="91" t="str">
        <x:v>模拟正常样本</x:v>
      </x:c>
      <x:c r="U168" s="91" t="n">
        <x:f>ABS(L168-N168)</x:f>
        <x:v>5</x:v>
      </x:c>
      <x:c r="V168" s="91" t="str">
        <x:f>IF(L168=K168,"沿用建议","人工调整")</x:f>
        <x:v>沿用建议</x:v>
      </x:c>
      <x:c r="W168" s="92" t="str">
        <x:f>IF(Q168="是","售罄风险",IF(P168&gt;3,"损耗风险","正常"))</x:f>
        <x:v>正常</x:v>
      </x:c>
    </x:row>
    <x:row r="169" ht="20" customHeight="1">
      <x:c r="A169" s="105" t="n">
        <x:v>46201</x:v>
      </x:c>
      <x:c r="B169" s="91" t="str">
        <x:v>模拟店 C（社区门店）</x:v>
      </x:c>
      <x:c r="C169" s="91" t="str">
        <x:v>成长期</x:v>
      </x:c>
      <x:c r="D169" s="91" t="str">
        <x:v>筒骨煨藕汤</x:v>
      </x:c>
      <x:c r="E169" s="91" t="str">
        <x:v>晚市</x:v>
      </x:c>
      <x:c r="F169" s="91" t="str">
        <x:v>周末周日</x:v>
      </x:c>
      <x:c r="G169" s="91" t="str">
        <x:v>降温</x:v>
      </x:c>
      <x:c r="H169" s="91" t="str">
        <x:v>商圈活动</x:v>
      </x:c>
      <x:c r="I169" s="108" t="n">
        <x:v>78</x:v>
      </x:c>
      <x:c r="J169" s="108" t="n">
        <x:v>87</x:v>
      </x:c>
      <x:c r="K169" s="108" t="n">
        <x:v>87</x:v>
      </x:c>
      <x:c r="L169" s="108" t="n">
        <x:v>87</x:v>
      </x:c>
      <x:c r="M169" s="108" t="str">
        <x:v>沿用建议</x:v>
      </x:c>
      <x:c r="N169" s="108" t="n">
        <x:v>85</x:v>
      </x:c>
      <x:c r="O169" s="108" t="n">
        <x:v>100</x:v>
      </x:c>
      <x:c r="P169" s="108" t="n">
        <x:v>0</x:v>
      </x:c>
      <x:c r="Q169" s="91" t="str">
        <x:v>否</x:v>
      </x:c>
      <x:c r="R169" s="91" t="n">
        <x:v>1</x:v>
      </x:c>
      <x:c r="S169" s="91" t="str">
        <x:v>无</x:v>
      </x:c>
      <x:c r="T169" s="91" t="str">
        <x:v>模拟正常样本</x:v>
      </x:c>
      <x:c r="U169" s="91" t="n">
        <x:f>ABS(L169-N169)</x:f>
        <x:v>2</x:v>
      </x:c>
      <x:c r="V169" s="91" t="str">
        <x:f>IF(L169=K169,"沿用建议","人工调整")</x:f>
        <x:v>沿用建议</x:v>
      </x:c>
      <x:c r="W169" s="92" t="str">
        <x:f>IF(Q169="是","售罄风险",IF(P169&gt;3,"损耗风险","正常"))</x:f>
        <x:v>正常</x:v>
      </x:c>
    </x:row>
    <x:row r="170" ht="20" customHeight="1">
      <x:c r="A170" s="105" t="n">
        <x:v>46201</x:v>
      </x:c>
      <x:c r="B170" s="91" t="str">
        <x:v>模拟店 C（社区门店）</x:v>
      </x:c>
      <x:c r="C170" s="91" t="str">
        <x:v>成长期</x:v>
      </x:c>
      <x:c r="D170" s="91" t="str">
        <x:v>粉蒸排骨</x:v>
      </x:c>
      <x:c r="E170" s="91" t="str">
        <x:v>晚市</x:v>
      </x:c>
      <x:c r="F170" s="91" t="str">
        <x:v>周末周日</x:v>
      </x:c>
      <x:c r="G170" s="91" t="str">
        <x:v>降温</x:v>
      </x:c>
      <x:c r="H170" s="91" t="str">
        <x:v>商圈活动</x:v>
      </x:c>
      <x:c r="I170" s="108" t="n">
        <x:v>45</x:v>
      </x:c>
      <x:c r="J170" s="108" t="n">
        <x:v>49</x:v>
      </x:c>
      <x:c r="K170" s="108" t="n">
        <x:v>49</x:v>
      </x:c>
      <x:c r="L170" s="108" t="n">
        <x:v>49</x:v>
      </x:c>
      <x:c r="M170" s="108" t="str">
        <x:v>沿用建议</x:v>
      </x:c>
      <x:c r="N170" s="108" t="n">
        <x:v>43</x:v>
      </x:c>
      <x:c r="O170" s="108" t="n">
        <x:v>61</x:v>
      </x:c>
      <x:c r="P170" s="108" t="n">
        <x:v>4</x:v>
      </x:c>
      <x:c r="Q170" s="91" t="str">
        <x:v>否</x:v>
      </x:c>
      <x:c r="R170" s="91" t="n">
        <x:v>2</x:v>
      </x:c>
      <x:c r="S170" s="91" t="str">
        <x:v>无</x:v>
      </x:c>
      <x:c r="T170" s="91" t="str">
        <x:v>模拟正常样本</x:v>
      </x:c>
      <x:c r="U170" s="91" t="n">
        <x:f>ABS(L170-N170)</x:f>
        <x:v>6</x:v>
      </x:c>
      <x:c r="V170" s="91" t="str">
        <x:f>IF(L170=K170,"沿用建议","人工调整")</x:f>
        <x:v>沿用建议</x:v>
      </x:c>
      <x:c r="W170" s="92" t="str">
        <x:f>IF(Q170="是","售罄风险",IF(P170&gt;3,"损耗风险","正常"))</x:f>
        <x:v>损耗风险</x:v>
      </x:c>
    </x:row>
    <x:row r="171" ht="20" customHeight="1">
      <x:c r="A171" s="105" t="n">
        <x:v>46201</x:v>
      </x:c>
      <x:c r="B171" s="91" t="str">
        <x:v>模拟店 C（社区门店）</x:v>
      </x:c>
      <x:c r="C171" s="91" t="str">
        <x:v>成长期</x:v>
      </x:c>
      <x:c r="D171" s="91" t="str">
        <x:v>桂花糖藕</x:v>
      </x:c>
      <x:c r="E171" s="91" t="str">
        <x:v>晚市</x:v>
      </x:c>
      <x:c r="F171" s="91" t="str">
        <x:v>周末周日</x:v>
      </x:c>
      <x:c r="G171" s="91" t="str">
        <x:v>降温</x:v>
      </x:c>
      <x:c r="H171" s="91" t="str">
        <x:v>商圈活动</x:v>
      </x:c>
      <x:c r="I171" s="108" t="n">
        <x:v>30</x:v>
      </x:c>
      <x:c r="J171" s="108" t="n">
        <x:v>34</x:v>
      </x:c>
      <x:c r="K171" s="108" t="n">
        <x:v>34</x:v>
      </x:c>
      <x:c r="L171" s="108" t="n">
        <x:v>34</x:v>
      </x:c>
      <x:c r="M171" s="108" t="str">
        <x:v>沿用建议</x:v>
      </x:c>
      <x:c r="N171" s="108" t="n">
        <x:v>29</x:v>
      </x:c>
      <x:c r="O171" s="108" t="n">
        <x:v>43</x:v>
      </x:c>
      <x:c r="P171" s="108" t="n">
        <x:v>4</x:v>
      </x:c>
      <x:c r="Q171" s="91" t="str">
        <x:v>否</x:v>
      </x:c>
      <x:c r="R171" s="91" t="n">
        <x:v>2</x:v>
      </x:c>
      <x:c r="S171" s="91" t="str">
        <x:v>待复核</x:v>
      </x:c>
      <x:c r="T171" s="91" t="str">
        <x:v>关联异常处置日志</x:v>
      </x:c>
      <x:c r="U171" s="91" t="n">
        <x:f>ABS(L171-N171)</x:f>
        <x:v>5</x:v>
      </x:c>
      <x:c r="V171" s="91" t="str">
        <x:f>IF(L171=K171,"沿用建议","人工调整")</x:f>
        <x:v>沿用建议</x:v>
      </x:c>
      <x:c r="W171" s="92" t="str">
        <x:f>IF(Q171="是","售罄风险",IF(P171&gt;3,"损耗风险","正常"))</x:f>
        <x:v>损耗风险</x:v>
      </x:c>
    </x:row>
    <x:row r="172" ht="20" customHeight="1">
      <x:c r="A172" s="105" t="n">
        <x:v>46201</x:v>
      </x:c>
      <x:c r="B172" s="91" t="str">
        <x:v>模拟店 C（社区门店）</x:v>
      </x:c>
      <x:c r="C172" s="91" t="str">
        <x:v>成长期</x:v>
      </x:c>
      <x:c r="D172" s="91" t="str">
        <x:v>藕夹</x:v>
      </x:c>
      <x:c r="E172" s="91" t="str">
        <x:v>晚市</x:v>
      </x:c>
      <x:c r="F172" s="91" t="str">
        <x:v>周末周日</x:v>
      </x:c>
      <x:c r="G172" s="91" t="str">
        <x:v>降温</x:v>
      </x:c>
      <x:c r="H172" s="91" t="str">
        <x:v>商圈活动</x:v>
      </x:c>
      <x:c r="I172" s="108" t="n">
        <x:v>34</x:v>
      </x:c>
      <x:c r="J172" s="108" t="n">
        <x:v>38</x:v>
      </x:c>
      <x:c r="K172" s="108" t="n">
        <x:v>38</x:v>
      </x:c>
      <x:c r="L172" s="108" t="n">
        <x:v>38</x:v>
      </x:c>
      <x:c r="M172" s="108" t="str">
        <x:v>沿用建议</x:v>
      </x:c>
      <x:c r="N172" s="108" t="n">
        <x:v>38</x:v>
      </x:c>
      <x:c r="O172" s="108" t="n">
        <x:v>52</x:v>
      </x:c>
      <x:c r="P172" s="108" t="n">
        <x:v>0</x:v>
      </x:c>
      <x:c r="Q172" s="91" t="str">
        <x:v>否</x:v>
      </x:c>
      <x:c r="R172" s="91" t="n">
        <x:v>1</x:v>
      </x:c>
      <x:c r="S172" s="91" t="str">
        <x:v>无</x:v>
      </x:c>
      <x:c r="T172" s="91" t="str">
        <x:v>模拟正常样本</x:v>
      </x:c>
      <x:c r="U172" s="91" t="n">
        <x:f>ABS(L172-N172)</x:f>
        <x:v>0</x:v>
      </x:c>
      <x:c r="V172" s="91" t="str">
        <x:f>IF(L172=K172,"沿用建议","人工调整")</x:f>
        <x:v>沿用建议</x:v>
      </x:c>
      <x:c r="W172" s="92" t="str">
        <x:f>IF(Q172="是","售罄风险",IF(P172&gt;3,"损耗风险","正常"))</x:f>
        <x:v>正常</x:v>
      </x:c>
    </x:row>
    <x:row r="173" ht="20" customHeight="1">
      <x:c r="A173" s="105" t="n">
        <x:v>46202</x:v>
      </x:c>
      <x:c r="B173" s="91" t="str">
        <x:v>模拟店 A（成熟商圈）</x:v>
      </x:c>
      <x:c r="C173" s="91" t="str">
        <x:v>成熟店</x:v>
      </x:c>
      <x:c r="D173" s="91" t="str">
        <x:v>筒骨煨藕汤</x:v>
      </x:c>
      <x:c r="E173" s="91" t="str">
        <x:v>晚市</x:v>
      </x:c>
      <x:c r="F173" s="91" t="str">
        <x:v>工作日周一</x:v>
      </x:c>
      <x:c r="G173" s="91" t="str">
        <x:v>常温</x:v>
      </x:c>
      <x:c r="H173" s="91" t="str">
        <x:v>无</x:v>
      </x:c>
      <x:c r="I173" s="108" t="n">
        <x:v>72</x:v>
      </x:c>
      <x:c r="J173" s="108" t="n">
        <x:v>80</x:v>
      </x:c>
      <x:c r="K173" s="108" t="n">
        <x:v>80</x:v>
      </x:c>
      <x:c r="L173" s="108" t="n">
        <x:v>80</x:v>
      </x:c>
      <x:c r="M173" s="108" t="str">
        <x:v>沿用建议</x:v>
      </x:c>
      <x:c r="N173" s="108" t="n">
        <x:v>66</x:v>
      </x:c>
      <x:c r="O173" s="108" t="n">
        <x:v>95</x:v>
      </x:c>
      <x:c r="P173" s="108" t="n">
        <x:v>12</x:v>
      </x:c>
      <x:c r="Q173" s="91" t="str">
        <x:v>否</x:v>
      </x:c>
      <x:c r="R173" s="91" t="n">
        <x:v>2</x:v>
      </x:c>
      <x:c r="S173" s="91" t="str">
        <x:v>无</x:v>
      </x:c>
      <x:c r="T173" s="91" t="str">
        <x:v>模拟正常样本</x:v>
      </x:c>
      <x:c r="U173" s="91" t="n">
        <x:f>ABS(L173-N173)</x:f>
        <x:v>14</x:v>
      </x:c>
      <x:c r="V173" s="91" t="str">
        <x:f>IF(L173=K173,"沿用建议","人工调整")</x:f>
        <x:v>沿用建议</x:v>
      </x:c>
      <x:c r="W173" s="92" t="str">
        <x:f>IF(Q173="是","售罄风险",IF(P173&gt;3,"损耗风险","正常"))</x:f>
        <x:v>损耗风险</x:v>
      </x:c>
    </x:row>
    <x:row r="174" ht="20" customHeight="1">
      <x:c r="A174" s="105" t="n">
        <x:v>46202</x:v>
      </x:c>
      <x:c r="B174" s="91" t="str">
        <x:v>模拟店 A（成熟商圈）</x:v>
      </x:c>
      <x:c r="C174" s="91" t="str">
        <x:v>成熟店</x:v>
      </x:c>
      <x:c r="D174" s="91" t="str">
        <x:v>粉蒸排骨</x:v>
      </x:c>
      <x:c r="E174" s="91" t="str">
        <x:v>晚市</x:v>
      </x:c>
      <x:c r="F174" s="91" t="str">
        <x:v>工作日周一</x:v>
      </x:c>
      <x:c r="G174" s="91" t="str">
        <x:v>常温</x:v>
      </x:c>
      <x:c r="H174" s="91" t="str">
        <x:v>无</x:v>
      </x:c>
      <x:c r="I174" s="108" t="n">
        <x:v>41</x:v>
      </x:c>
      <x:c r="J174" s="108" t="n">
        <x:v>45</x:v>
      </x:c>
      <x:c r="K174" s="108" t="n">
        <x:v>45</x:v>
      </x:c>
      <x:c r="L174" s="108" t="n">
        <x:v>45</x:v>
      </x:c>
      <x:c r="M174" s="108" t="str">
        <x:v>沿用建议</x:v>
      </x:c>
      <x:c r="N174" s="108" t="n">
        <x:v>38</x:v>
      </x:c>
      <x:c r="O174" s="108" t="n">
        <x:v>55</x:v>
      </x:c>
      <x:c r="P174" s="108" t="n">
        <x:v>5</x:v>
      </x:c>
      <x:c r="Q174" s="91" t="str">
        <x:v>否</x:v>
      </x:c>
      <x:c r="R174" s="91" t="n">
        <x:v>2</x:v>
      </x:c>
      <x:c r="S174" s="91" t="str">
        <x:v>无</x:v>
      </x:c>
      <x:c r="T174" s="91" t="str">
        <x:v>模拟正常样本</x:v>
      </x:c>
      <x:c r="U174" s="91" t="n">
        <x:f>ABS(L174-N174)</x:f>
        <x:v>7</x:v>
      </x:c>
      <x:c r="V174" s="91" t="str">
        <x:f>IF(L174=K174,"沿用建议","人工调整")</x:f>
        <x:v>沿用建议</x:v>
      </x:c>
      <x:c r="W174" s="92" t="str">
        <x:f>IF(Q174="是","售罄风险",IF(P174&gt;3,"损耗风险","正常"))</x:f>
        <x:v>损耗风险</x:v>
      </x:c>
    </x:row>
    <x:row r="175" ht="20" customHeight="1">
      <x:c r="A175" s="105" t="n">
        <x:v>46202</x:v>
      </x:c>
      <x:c r="B175" s="91" t="str">
        <x:v>模拟店 A（成熟商圈）</x:v>
      </x:c>
      <x:c r="C175" s="91" t="str">
        <x:v>成熟店</x:v>
      </x:c>
      <x:c r="D175" s="91" t="str">
        <x:v>桂花糖藕</x:v>
      </x:c>
      <x:c r="E175" s="91" t="str">
        <x:v>晚市</x:v>
      </x:c>
      <x:c r="F175" s="91" t="str">
        <x:v>工作日周一</x:v>
      </x:c>
      <x:c r="G175" s="91" t="str">
        <x:v>常温</x:v>
      </x:c>
      <x:c r="H175" s="91" t="str">
        <x:v>无</x:v>
      </x:c>
      <x:c r="I175" s="108" t="n">
        <x:v>27</x:v>
      </x:c>
      <x:c r="J175" s="108" t="n">
        <x:v>31</x:v>
      </x:c>
      <x:c r="K175" s="108" t="n">
        <x:v>31</x:v>
      </x:c>
      <x:c r="L175" s="108" t="n">
        <x:v>31</x:v>
      </x:c>
      <x:c r="M175" s="108" t="str">
        <x:v>沿用建议</x:v>
      </x:c>
      <x:c r="N175" s="108" t="n">
        <x:v>28</x:v>
      </x:c>
      <x:c r="O175" s="108" t="n">
        <x:v>45</x:v>
      </x:c>
      <x:c r="P175" s="108" t="n">
        <x:v>2</x:v>
      </x:c>
      <x:c r="Q175" s="91" t="str">
        <x:v>否</x:v>
      </x:c>
      <x:c r="R175" s="91" t="n">
        <x:v>1</x:v>
      </x:c>
      <x:c r="S175" s="91" t="str">
        <x:v>无</x:v>
      </x:c>
      <x:c r="T175" s="91" t="str">
        <x:v>模拟正常样本</x:v>
      </x:c>
      <x:c r="U175" s="91" t="n">
        <x:f>ABS(L175-N175)</x:f>
        <x:v>3</x:v>
      </x:c>
      <x:c r="V175" s="91" t="str">
        <x:f>IF(L175=K175,"沿用建议","人工调整")</x:f>
        <x:v>沿用建议</x:v>
      </x:c>
      <x:c r="W175" s="92" t="str">
        <x:f>IF(Q175="是","售罄风险",IF(P175&gt;3,"损耗风险","正常"))</x:f>
        <x:v>正常</x:v>
      </x:c>
    </x:row>
    <x:row r="176" ht="20" customHeight="1">
      <x:c r="A176" s="105" t="n">
        <x:v>46202</x:v>
      </x:c>
      <x:c r="B176" s="91" t="str">
        <x:v>模拟店 A（成熟商圈）</x:v>
      </x:c>
      <x:c r="C176" s="91" t="str">
        <x:v>成熟店</x:v>
      </x:c>
      <x:c r="D176" s="91" t="str">
        <x:v>藕夹</x:v>
      </x:c>
      <x:c r="E176" s="91" t="str">
        <x:v>晚市</x:v>
      </x:c>
      <x:c r="F176" s="91" t="str">
        <x:v>工作日周一</x:v>
      </x:c>
      <x:c r="G176" s="91" t="str">
        <x:v>常温</x:v>
      </x:c>
      <x:c r="H176" s="91" t="str">
        <x:v>无</x:v>
      </x:c>
      <x:c r="I176" s="108" t="n">
        <x:v>33</x:v>
      </x:c>
      <x:c r="J176" s="108" t="n">
        <x:v>37</x:v>
      </x:c>
      <x:c r="K176" s="108" t="n">
        <x:v>37</x:v>
      </x:c>
      <x:c r="L176" s="108" t="n">
        <x:v>37</x:v>
      </x:c>
      <x:c r="M176" s="108" t="str">
        <x:v>沿用建议</x:v>
      </x:c>
      <x:c r="N176" s="108" t="n">
        <x:v>32</x:v>
      </x:c>
      <x:c r="O176" s="108" t="n">
        <x:v>49</x:v>
      </x:c>
      <x:c r="P176" s="108" t="n">
        <x:v>3</x:v>
      </x:c>
      <x:c r="Q176" s="91" t="str">
        <x:v>否</x:v>
      </x:c>
      <x:c r="R176" s="91" t="n">
        <x:v>2</x:v>
      </x:c>
      <x:c r="S176" s="91" t="str">
        <x:v>无</x:v>
      </x:c>
      <x:c r="T176" s="91" t="str">
        <x:v>模拟正常样本</x:v>
      </x:c>
      <x:c r="U176" s="91" t="n">
        <x:f>ABS(L176-N176)</x:f>
        <x:v>5</x:v>
      </x:c>
      <x:c r="V176" s="91" t="str">
        <x:f>IF(L176=K176,"沿用建议","人工调整")</x:f>
        <x:v>沿用建议</x:v>
      </x:c>
      <x:c r="W176" s="92" t="str">
        <x:f>IF(Q176="是","售罄风险",IF(P176&gt;3,"损耗风险","正常"))</x:f>
        <x:v>正常</x:v>
      </x:c>
    </x:row>
    <x:row r="177" ht="20" customHeight="1">
      <x:c r="A177" s="105" t="n">
        <x:v>46202</x:v>
      </x:c>
      <x:c r="B177" s="91" t="str">
        <x:v>模拟店 B（新开门店）</x:v>
      </x:c>
      <x:c r="C177" s="91" t="str">
        <x:v>新店</x:v>
      </x:c>
      <x:c r="D177" s="91" t="str">
        <x:v>筒骨煨藕汤</x:v>
      </x:c>
      <x:c r="E177" s="91" t="str">
        <x:v>晚市</x:v>
      </x:c>
      <x:c r="F177" s="91" t="str">
        <x:v>工作日周一</x:v>
      </x:c>
      <x:c r="G177" s="91" t="str">
        <x:v>降温</x:v>
      </x:c>
      <x:c r="H177" s="91" t="str">
        <x:v>无</x:v>
      </x:c>
      <x:c r="I177" s="108" t="n">
        <x:v>58</x:v>
      </x:c>
      <x:c r="J177" s="108" t="n">
        <x:v>65</x:v>
      </x:c>
      <x:c r="K177" s="108" t="n">
        <x:v>65</x:v>
      </x:c>
      <x:c r="L177" s="108" t="n">
        <x:v>65</x:v>
      </x:c>
      <x:c r="M177" s="108" t="str">
        <x:v>沿用建议</x:v>
      </x:c>
      <x:c r="N177" s="108" t="n">
        <x:v>57</x:v>
      </x:c>
      <x:c r="O177" s="108" t="n">
        <x:v>76</x:v>
      </x:c>
      <x:c r="P177" s="108" t="n">
        <x:v>6</x:v>
      </x:c>
      <x:c r="Q177" s="91" t="str">
        <x:v>否</x:v>
      </x:c>
      <x:c r="R177" s="91" t="n">
        <x:v>2</x:v>
      </x:c>
      <x:c r="S177" s="91" t="str">
        <x:v>无</x:v>
      </x:c>
      <x:c r="T177" s="91" t="str">
        <x:v>模拟正常样本</x:v>
      </x:c>
      <x:c r="U177" s="91" t="n">
        <x:f>ABS(L177-N177)</x:f>
        <x:v>8</x:v>
      </x:c>
      <x:c r="V177" s="91" t="str">
        <x:f>IF(L177=K177,"沿用建议","人工调整")</x:f>
        <x:v>沿用建议</x:v>
      </x:c>
      <x:c r="W177" s="92" t="str">
        <x:f>IF(Q177="是","售罄风险",IF(P177&gt;3,"损耗风险","正常"))</x:f>
        <x:v>损耗风险</x:v>
      </x:c>
    </x:row>
    <x:row r="178" ht="20" customHeight="1">
      <x:c r="A178" s="105" t="n">
        <x:v>46202</x:v>
      </x:c>
      <x:c r="B178" s="91" t="str">
        <x:v>模拟店 B（新开门店）</x:v>
      </x:c>
      <x:c r="C178" s="91" t="str">
        <x:v>新店</x:v>
      </x:c>
      <x:c r="D178" s="91" t="str">
        <x:v>粉蒸排骨</x:v>
      </x:c>
      <x:c r="E178" s="91" t="str">
        <x:v>晚市</x:v>
      </x:c>
      <x:c r="F178" s="91" t="str">
        <x:v>工作日周一</x:v>
      </x:c>
      <x:c r="G178" s="91" t="str">
        <x:v>降温</x:v>
      </x:c>
      <x:c r="H178" s="91" t="str">
        <x:v>无</x:v>
      </x:c>
      <x:c r="I178" s="108" t="n">
        <x:v>32</x:v>
      </x:c>
      <x:c r="J178" s="108" t="n">
        <x:v>36</x:v>
      </x:c>
      <x:c r="K178" s="108" t="n">
        <x:v>36</x:v>
      </x:c>
      <x:c r="L178" s="108" t="n">
        <x:v>34</x:v>
      </x:c>
      <x:c r="M178" s="108" t="str">
        <x:v>商圈活动临时变化</x:v>
      </x:c>
      <x:c r="N178" s="108" t="n">
        <x:v>34</x:v>
      </x:c>
      <x:c r="O178" s="108" t="n">
        <x:v>45</x:v>
      </x:c>
      <x:c r="P178" s="108" t="n">
        <x:v>0</x:v>
      </x:c>
      <x:c r="Q178" s="91" t="str">
        <x:v>否</x:v>
      </x:c>
      <x:c r="R178" s="91" t="n">
        <x:v>0</x:v>
      </x:c>
      <x:c r="S178" s="91" t="str">
        <x:v>无</x:v>
      </x:c>
      <x:c r="T178" s="91" t="str">
        <x:v>模拟正常样本</x:v>
      </x:c>
      <x:c r="U178" s="91" t="n">
        <x:f>ABS(L178-N178)</x:f>
        <x:v>0</x:v>
      </x:c>
      <x:c r="V178" s="91" t="str">
        <x:f>IF(L178=K178,"沿用建议","人工调整")</x:f>
        <x:v>人工调整</x:v>
      </x:c>
      <x:c r="W178" s="92" t="str">
        <x:f>IF(Q178="是","售罄风险",IF(P178&gt;3,"损耗风险","正常"))</x:f>
        <x:v>正常</x:v>
      </x:c>
    </x:row>
    <x:row r="179" ht="20" customHeight="1">
      <x:c r="A179" s="105" t="n">
        <x:v>46202</x:v>
      </x:c>
      <x:c r="B179" s="91" t="str">
        <x:v>模拟店 B（新开门店）</x:v>
      </x:c>
      <x:c r="C179" s="91" t="str">
        <x:v>新店</x:v>
      </x:c>
      <x:c r="D179" s="91" t="str">
        <x:v>桂花糖藕</x:v>
      </x:c>
      <x:c r="E179" s="91" t="str">
        <x:v>晚市</x:v>
      </x:c>
      <x:c r="F179" s="91" t="str">
        <x:v>工作日周一</x:v>
      </x:c>
      <x:c r="G179" s="91" t="str">
        <x:v>降温</x:v>
      </x:c>
      <x:c r="H179" s="91" t="str">
        <x:v>无</x:v>
      </x:c>
      <x:c r="I179" s="108" t="n">
        <x:v>21</x:v>
      </x:c>
      <x:c r="J179" s="108" t="n">
        <x:v>25</x:v>
      </x:c>
      <x:c r="K179" s="108" t="n">
        <x:v>25</x:v>
      </x:c>
      <x:c r="L179" s="108" t="n">
        <x:v>25</x:v>
      </x:c>
      <x:c r="M179" s="108" t="str">
        <x:v>沿用建议</x:v>
      </x:c>
      <x:c r="N179" s="108" t="n">
        <x:v>19</x:v>
      </x:c>
      <x:c r="O179" s="108" t="n">
        <x:v>37</x:v>
      </x:c>
      <x:c r="P179" s="108" t="n">
        <x:v>5</x:v>
      </x:c>
      <x:c r="Q179" s="91" t="str">
        <x:v>否</x:v>
      </x:c>
      <x:c r="R179" s="91" t="n">
        <x:v>1</x:v>
      </x:c>
      <x:c r="S179" s="91" t="str">
        <x:v>待复核</x:v>
      </x:c>
      <x:c r="T179" s="91" t="str">
        <x:v>关联异常处置日志</x:v>
      </x:c>
      <x:c r="U179" s="91" t="n">
        <x:f>ABS(L179-N179)</x:f>
        <x:v>6</x:v>
      </x:c>
      <x:c r="V179" s="91" t="str">
        <x:f>IF(L179=K179,"沿用建议","人工调整")</x:f>
        <x:v>沿用建议</x:v>
      </x:c>
      <x:c r="W179" s="92" t="str">
        <x:f>IF(Q179="是","售罄风险",IF(P179&gt;3,"损耗风险","正常"))</x:f>
        <x:v>损耗风险</x:v>
      </x:c>
    </x:row>
    <x:row r="180" ht="20" customHeight="1">
      <x:c r="A180" s="105" t="n">
        <x:v>46202</x:v>
      </x:c>
      <x:c r="B180" s="91" t="str">
        <x:v>模拟店 B（新开门店）</x:v>
      </x:c>
      <x:c r="C180" s="91" t="str">
        <x:v>新店</x:v>
      </x:c>
      <x:c r="D180" s="91" t="str">
        <x:v>藕夹</x:v>
      </x:c>
      <x:c r="E180" s="91" t="str">
        <x:v>晚市</x:v>
      </x:c>
      <x:c r="F180" s="91" t="str">
        <x:v>工作日周一</x:v>
      </x:c>
      <x:c r="G180" s="91" t="str">
        <x:v>降温</x:v>
      </x:c>
      <x:c r="H180" s="91" t="str">
        <x:v>无</x:v>
      </x:c>
      <x:c r="I180" s="108" t="n">
        <x:v>26</x:v>
      </x:c>
      <x:c r="J180" s="108" t="n">
        <x:v>30</x:v>
      </x:c>
      <x:c r="K180" s="108" t="n">
        <x:v>30</x:v>
      </x:c>
      <x:c r="L180" s="108" t="n">
        <x:v>30</x:v>
      </x:c>
      <x:c r="M180" s="108" t="str">
        <x:v>沿用建议</x:v>
      </x:c>
      <x:c r="N180" s="108" t="n">
        <x:v>28</x:v>
      </x:c>
      <x:c r="O180" s="108" t="n">
        <x:v>39</x:v>
      </x:c>
      <x:c r="P180" s="108" t="n">
        <x:v>0</x:v>
      </x:c>
      <x:c r="Q180" s="91" t="str">
        <x:v>否</x:v>
      </x:c>
      <x:c r="R180" s="91" t="n">
        <x:v>0</x:v>
      </x:c>
      <x:c r="S180" s="91" t="str">
        <x:v>无</x:v>
      </x:c>
      <x:c r="T180" s="91" t="str">
        <x:v>模拟正常样本</x:v>
      </x:c>
      <x:c r="U180" s="91" t="n">
        <x:f>ABS(L180-N180)</x:f>
        <x:v>2</x:v>
      </x:c>
      <x:c r="V180" s="91" t="str">
        <x:f>IF(L180=K180,"沿用建议","人工调整")</x:f>
        <x:v>沿用建议</x:v>
      </x:c>
      <x:c r="W180" s="92" t="str">
        <x:f>IF(Q180="是","售罄风险",IF(P180&gt;3,"损耗风险","正常"))</x:f>
        <x:v>正常</x:v>
      </x:c>
    </x:row>
    <x:row r="181" ht="20" customHeight="1">
      <x:c r="A181" s="105" t="n">
        <x:v>46202</x:v>
      </x:c>
      <x:c r="B181" s="91" t="str">
        <x:v>模拟店 C（社区门店）</x:v>
      </x:c>
      <x:c r="C181" s="91" t="str">
        <x:v>成长期</x:v>
      </x:c>
      <x:c r="D181" s="91" t="str">
        <x:v>筒骨煨藕汤</x:v>
      </x:c>
      <x:c r="E181" s="91" t="str">
        <x:v>晚市</x:v>
      </x:c>
      <x:c r="F181" s="91" t="str">
        <x:v>工作日周一</x:v>
      </x:c>
      <x:c r="G181" s="91" t="str">
        <x:v>雨天</x:v>
      </x:c>
      <x:c r="H181" s="91" t="str">
        <x:v>无</x:v>
      </x:c>
      <x:c r="I181" s="108" t="n">
        <x:v>62</x:v>
      </x:c>
      <x:c r="J181" s="108" t="n">
        <x:v>70</x:v>
      </x:c>
      <x:c r="K181" s="108" t="n">
        <x:v>70</x:v>
      </x:c>
      <x:c r="L181" s="108" t="n">
        <x:v>70</x:v>
      </x:c>
      <x:c r="M181" s="108" t="str">
        <x:v>沿用建议</x:v>
      </x:c>
      <x:c r="N181" s="108" t="n">
        <x:v>63</x:v>
      </x:c>
      <x:c r="O181" s="108" t="n">
        <x:v>79</x:v>
      </x:c>
      <x:c r="P181" s="108" t="n">
        <x:v>5</x:v>
      </x:c>
      <x:c r="Q181" s="91" t="str">
        <x:v>否</x:v>
      </x:c>
      <x:c r="R181" s="91" t="n">
        <x:v>3</x:v>
      </x:c>
      <x:c r="S181" s="91" t="str">
        <x:v>无</x:v>
      </x:c>
      <x:c r="T181" s="91" t="str">
        <x:v>模拟正常样本</x:v>
      </x:c>
      <x:c r="U181" s="91" t="n">
        <x:f>ABS(L181-N181)</x:f>
        <x:v>7</x:v>
      </x:c>
      <x:c r="V181" s="91" t="str">
        <x:f>IF(L181=K181,"沿用建议","人工调整")</x:f>
        <x:v>沿用建议</x:v>
      </x:c>
      <x:c r="W181" s="92" t="str">
        <x:f>IF(Q181="是","售罄风险",IF(P181&gt;3,"损耗风险","正常"))</x:f>
        <x:v>损耗风险</x:v>
      </x:c>
    </x:row>
    <x:row r="182" ht="20" customHeight="1">
      <x:c r="A182" s="105" t="n">
        <x:v>46202</x:v>
      </x:c>
      <x:c r="B182" s="91" t="str">
        <x:v>模拟店 C（社区门店）</x:v>
      </x:c>
      <x:c r="C182" s="91" t="str">
        <x:v>成长期</x:v>
      </x:c>
      <x:c r="D182" s="91" t="str">
        <x:v>粉蒸排骨</x:v>
      </x:c>
      <x:c r="E182" s="91" t="str">
        <x:v>晚市</x:v>
      </x:c>
      <x:c r="F182" s="91" t="str">
        <x:v>工作日周一</x:v>
      </x:c>
      <x:c r="G182" s="91" t="str">
        <x:v>雨天</x:v>
      </x:c>
      <x:c r="H182" s="91" t="str">
        <x:v>无</x:v>
      </x:c>
      <x:c r="I182" s="108" t="n">
        <x:v>33</x:v>
      </x:c>
      <x:c r="J182" s="108" t="n">
        <x:v>37</x:v>
      </x:c>
      <x:c r="K182" s="108" t="n">
        <x:v>37</x:v>
      </x:c>
      <x:c r="L182" s="108" t="n">
        <x:v>37</x:v>
      </x:c>
      <x:c r="M182" s="108" t="str">
        <x:v>沿用建议</x:v>
      </x:c>
      <x:c r="N182" s="108" t="n">
        <x:v>33</x:v>
      </x:c>
      <x:c r="O182" s="108" t="n">
        <x:v>45</x:v>
      </x:c>
      <x:c r="P182" s="108" t="n">
        <x:v>2</x:v>
      </x:c>
      <x:c r="Q182" s="91" t="str">
        <x:v>否</x:v>
      </x:c>
      <x:c r="R182" s="91" t="n">
        <x:v>3</x:v>
      </x:c>
      <x:c r="S182" s="91" t="str">
        <x:v>无</x:v>
      </x:c>
      <x:c r="T182" s="91" t="str">
        <x:v>模拟正常样本</x:v>
      </x:c>
      <x:c r="U182" s="91" t="n">
        <x:f>ABS(L182-N182)</x:f>
        <x:v>4</x:v>
      </x:c>
      <x:c r="V182" s="91" t="str">
        <x:f>IF(L182=K182,"沿用建议","人工调整")</x:f>
        <x:v>沿用建议</x:v>
      </x:c>
      <x:c r="W182" s="92" t="str">
        <x:f>IF(Q182="是","售罄风险",IF(P182&gt;3,"损耗风险","正常"))</x:f>
        <x:v>正常</x:v>
      </x:c>
    </x:row>
    <x:row r="183" ht="20" customHeight="1">
      <x:c r="A183" s="105" t="n">
        <x:v>46202</x:v>
      </x:c>
      <x:c r="B183" s="91" t="str">
        <x:v>模拟店 C（社区门店）</x:v>
      </x:c>
      <x:c r="C183" s="91" t="str">
        <x:v>成长期</x:v>
      </x:c>
      <x:c r="D183" s="91" t="str">
        <x:v>桂花糖藕</x:v>
      </x:c>
      <x:c r="E183" s="91" t="str">
        <x:v>晚市</x:v>
      </x:c>
      <x:c r="F183" s="91" t="str">
        <x:v>工作日周一</x:v>
      </x:c>
      <x:c r="G183" s="91" t="str">
        <x:v>雨天</x:v>
      </x:c>
      <x:c r="H183" s="91" t="str">
        <x:v>无</x:v>
      </x:c>
      <x:c r="I183" s="108" t="n">
        <x:v>22</x:v>
      </x:c>
      <x:c r="J183" s="108" t="n">
        <x:v>26</x:v>
      </x:c>
      <x:c r="K183" s="108" t="n">
        <x:v>26</x:v>
      </x:c>
      <x:c r="L183" s="108" t="n">
        <x:v>26</x:v>
      </x:c>
      <x:c r="M183" s="108" t="str">
        <x:v>沿用建议</x:v>
      </x:c>
      <x:c r="N183" s="108" t="n">
        <x:v>23</x:v>
      </x:c>
      <x:c r="O183" s="108" t="n">
        <x:v>33</x:v>
      </x:c>
      <x:c r="P183" s="108" t="n">
        <x:v>2</x:v>
      </x:c>
      <x:c r="Q183" s="91" t="str">
        <x:v>否</x:v>
      </x:c>
      <x:c r="R183" s="91" t="n">
        <x:v>3</x:v>
      </x:c>
      <x:c r="S183" s="91" t="str">
        <x:v>无</x:v>
      </x:c>
      <x:c r="T183" s="91" t="str">
        <x:v>模拟正常样本</x:v>
      </x:c>
      <x:c r="U183" s="91" t="n">
        <x:f>ABS(L183-N183)</x:f>
        <x:v>3</x:v>
      </x:c>
      <x:c r="V183" s="91" t="str">
        <x:f>IF(L183=K183,"沿用建议","人工调整")</x:f>
        <x:v>沿用建议</x:v>
      </x:c>
      <x:c r="W183" s="92" t="str">
        <x:f>IF(Q183="是","售罄风险",IF(P183&gt;3,"损耗风险","正常"))</x:f>
        <x:v>正常</x:v>
      </x:c>
    </x:row>
    <x:row r="184" ht="20" customHeight="1">
      <x:c r="A184" s="105" t="n">
        <x:v>46202</x:v>
      </x:c>
      <x:c r="B184" s="91" t="str">
        <x:v>模拟店 C（社区门店）</x:v>
      </x:c>
      <x:c r="C184" s="91" t="str">
        <x:v>成长期</x:v>
      </x:c>
      <x:c r="D184" s="91" t="str">
        <x:v>藕夹</x:v>
      </x:c>
      <x:c r="E184" s="91" t="str">
        <x:v>晚市</x:v>
      </x:c>
      <x:c r="F184" s="91" t="str">
        <x:v>工作日周一</x:v>
      </x:c>
      <x:c r="G184" s="91" t="str">
        <x:v>雨天</x:v>
      </x:c>
      <x:c r="H184" s="91" t="str">
        <x:v>无</x:v>
      </x:c>
      <x:c r="I184" s="108" t="n">
        <x:v>28</x:v>
      </x:c>
      <x:c r="J184" s="108" t="n">
        <x:v>32</x:v>
      </x:c>
      <x:c r="K184" s="108" t="n">
        <x:v>32</x:v>
      </x:c>
      <x:c r="L184" s="108" t="n">
        <x:v>32</x:v>
      </x:c>
      <x:c r="M184" s="108" t="str">
        <x:v>沿用建议</x:v>
      </x:c>
      <x:c r="N184" s="108" t="n">
        <x:v>27</x:v>
      </x:c>
      <x:c r="O184" s="108" t="n">
        <x:v>46</x:v>
      </x:c>
      <x:c r="P184" s="108" t="n">
        <x:v>3</x:v>
      </x:c>
      <x:c r="Q184" s="91" t="str">
        <x:v>否</x:v>
      </x:c>
      <x:c r="R184" s="91" t="n">
        <x:v>0</x:v>
      </x:c>
      <x:c r="S184" s="91" t="str">
        <x:v>无</x:v>
      </x:c>
      <x:c r="T184" s="91" t="str">
        <x:v>模拟正常样本</x:v>
      </x:c>
      <x:c r="U184" s="91" t="n">
        <x:f>ABS(L184-N184)</x:f>
        <x:v>5</x:v>
      </x:c>
      <x:c r="V184" s="91" t="str">
        <x:f>IF(L184=K184,"沿用建议","人工调整")</x:f>
        <x:v>沿用建议</x:v>
      </x:c>
      <x:c r="W184" s="92" t="str">
        <x:f>IF(Q184="是","售罄风险",IF(P184&gt;3,"损耗风险","正常"))</x:f>
        <x:v>正常</x:v>
      </x:c>
    </x:row>
    <x:row r="185" ht="20" customHeight="1">
      <x:c r="A185" s="105" t="n">
        <x:v>46203</x:v>
      </x:c>
      <x:c r="B185" s="91" t="str">
        <x:v>模拟店 A（成熟商圈）</x:v>
      </x:c>
      <x:c r="C185" s="91" t="str">
        <x:v>成熟店</x:v>
      </x:c>
      <x:c r="D185" s="91" t="str">
        <x:v>筒骨煨藕汤</x:v>
      </x:c>
      <x:c r="E185" s="91" t="str">
        <x:v>晚市</x:v>
      </x:c>
      <x:c r="F185" s="91" t="str">
        <x:v>工作日周二</x:v>
      </x:c>
      <x:c r="G185" s="91" t="str">
        <x:v>降温</x:v>
      </x:c>
      <x:c r="H185" s="91" t="str">
        <x:v>无</x:v>
      </x:c>
      <x:c r="I185" s="108" t="n">
        <x:v>76</x:v>
      </x:c>
      <x:c r="J185" s="108" t="n">
        <x:v>85</x:v>
      </x:c>
      <x:c r="K185" s="108" t="n">
        <x:v>85</x:v>
      </x:c>
      <x:c r="L185" s="108" t="n">
        <x:v>85</x:v>
      </x:c>
      <x:c r="M185" s="108" t="str">
        <x:v>沿用建议</x:v>
      </x:c>
      <x:c r="N185" s="108" t="n">
        <x:v>78</x:v>
      </x:c>
      <x:c r="O185" s="108" t="n">
        <x:v>95</x:v>
      </x:c>
      <x:c r="P185" s="108" t="n">
        <x:v>5</x:v>
      </x:c>
      <x:c r="Q185" s="91" t="str">
        <x:v>否</x:v>
      </x:c>
      <x:c r="R185" s="91" t="n">
        <x:v>3</x:v>
      </x:c>
      <x:c r="S185" s="91" t="str">
        <x:v>无</x:v>
      </x:c>
      <x:c r="T185" s="91" t="str">
        <x:v>模拟正常样本</x:v>
      </x:c>
      <x:c r="U185" s="91" t="n">
        <x:f>ABS(L185-N185)</x:f>
        <x:v>7</x:v>
      </x:c>
      <x:c r="V185" s="91" t="str">
        <x:f>IF(L185=K185,"沿用建议","人工调整")</x:f>
        <x:v>沿用建议</x:v>
      </x:c>
      <x:c r="W185" s="92" t="str">
        <x:f>IF(Q185="是","售罄风险",IF(P185&gt;3,"损耗风险","正常"))</x:f>
        <x:v>损耗风险</x:v>
      </x:c>
    </x:row>
    <x:row r="186" ht="20" customHeight="1">
      <x:c r="A186" s="105" t="n">
        <x:v>46203</x:v>
      </x:c>
      <x:c r="B186" s="91" t="str">
        <x:v>模拟店 A（成熟商圈）</x:v>
      </x:c>
      <x:c r="C186" s="91" t="str">
        <x:v>成熟店</x:v>
      </x:c>
      <x:c r="D186" s="91" t="str">
        <x:v>粉蒸排骨</x:v>
      </x:c>
      <x:c r="E186" s="91" t="str">
        <x:v>晚市</x:v>
      </x:c>
      <x:c r="F186" s="91" t="str">
        <x:v>工作日周二</x:v>
      </x:c>
      <x:c r="G186" s="91" t="str">
        <x:v>降温</x:v>
      </x:c>
      <x:c r="H186" s="91" t="str">
        <x:v>无</x:v>
      </x:c>
      <x:c r="I186" s="108" t="n">
        <x:v>40</x:v>
      </x:c>
      <x:c r="J186" s="108" t="n">
        <x:v>44</x:v>
      </x:c>
      <x:c r="K186" s="108" t="n">
        <x:v>44</x:v>
      </x:c>
      <x:c r="L186" s="108" t="n">
        <x:v>44</x:v>
      </x:c>
      <x:c r="M186" s="108" t="str">
        <x:v>沿用建议</x:v>
      </x:c>
      <x:c r="N186" s="108" t="n">
        <x:v>38</x:v>
      </x:c>
      <x:c r="O186" s="108" t="n">
        <x:v>59</x:v>
      </x:c>
      <x:c r="P186" s="108" t="n">
        <x:v>4</x:v>
      </x:c>
      <x:c r="Q186" s="91" t="str">
        <x:v>否</x:v>
      </x:c>
      <x:c r="R186" s="91" t="n">
        <x:v>2</x:v>
      </x:c>
      <x:c r="S186" s="91" t="str">
        <x:v>无</x:v>
      </x:c>
      <x:c r="T186" s="91" t="str">
        <x:v>模拟正常样本</x:v>
      </x:c>
      <x:c r="U186" s="91" t="n">
        <x:f>ABS(L186-N186)</x:f>
        <x:v>6</x:v>
      </x:c>
      <x:c r="V186" s="91" t="str">
        <x:f>IF(L186=K186,"沿用建议","人工调整")</x:f>
        <x:v>沿用建议</x:v>
      </x:c>
      <x:c r="W186" s="92" t="str">
        <x:f>IF(Q186="是","售罄风险",IF(P186&gt;3,"损耗风险","正常"))</x:f>
        <x:v>损耗风险</x:v>
      </x:c>
    </x:row>
    <x:row r="187" ht="20" customHeight="1">
      <x:c r="A187" s="105" t="n">
        <x:v>46203</x:v>
      </x:c>
      <x:c r="B187" s="91" t="str">
        <x:v>模拟店 A（成熟商圈）</x:v>
      </x:c>
      <x:c r="C187" s="91" t="str">
        <x:v>成熟店</x:v>
      </x:c>
      <x:c r="D187" s="91" t="str">
        <x:v>桂花糖藕</x:v>
      </x:c>
      <x:c r="E187" s="91" t="str">
        <x:v>晚市</x:v>
      </x:c>
      <x:c r="F187" s="91" t="str">
        <x:v>工作日周二</x:v>
      </x:c>
      <x:c r="G187" s="91" t="str">
        <x:v>降温</x:v>
      </x:c>
      <x:c r="H187" s="91" t="str">
        <x:v>无</x:v>
      </x:c>
      <x:c r="I187" s="108" t="n">
        <x:v>27</x:v>
      </x:c>
      <x:c r="J187" s="108" t="n">
        <x:v>31</x:v>
      </x:c>
      <x:c r="K187" s="108" t="n">
        <x:v>31</x:v>
      </x:c>
      <x:c r="L187" s="108" t="n">
        <x:v>31</x:v>
      </x:c>
      <x:c r="M187" s="108" t="str">
        <x:v>沿用建议</x:v>
      </x:c>
      <x:c r="N187" s="108" t="n">
        <x:v>26</x:v>
      </x:c>
      <x:c r="O187" s="108" t="n">
        <x:v>44</x:v>
      </x:c>
      <x:c r="P187" s="108" t="n">
        <x:v>4</x:v>
      </x:c>
      <x:c r="Q187" s="91" t="str">
        <x:v>否</x:v>
      </x:c>
      <x:c r="R187" s="91" t="n">
        <x:v>1</x:v>
      </x:c>
      <x:c r="S187" s="91" t="str">
        <x:v>待复核</x:v>
      </x:c>
      <x:c r="T187" s="91" t="str">
        <x:v>关联异常处置日志</x:v>
      </x:c>
      <x:c r="U187" s="91" t="n">
        <x:f>ABS(L187-N187)</x:f>
        <x:v>5</x:v>
      </x:c>
      <x:c r="V187" s="91" t="str">
        <x:f>IF(L187=K187,"沿用建议","人工调整")</x:f>
        <x:v>沿用建议</x:v>
      </x:c>
      <x:c r="W187" s="92" t="str">
        <x:f>IF(Q187="是","售罄风险",IF(P187&gt;3,"损耗风险","正常"))</x:f>
        <x:v>损耗风险</x:v>
      </x:c>
    </x:row>
    <x:row r="188" ht="20" customHeight="1">
      <x:c r="A188" s="105" t="n">
        <x:v>46203</x:v>
      </x:c>
      <x:c r="B188" s="91" t="str">
        <x:v>模拟店 A（成熟商圈）</x:v>
      </x:c>
      <x:c r="C188" s="91" t="str">
        <x:v>成熟店</x:v>
      </x:c>
      <x:c r="D188" s="91" t="str">
        <x:v>藕夹</x:v>
      </x:c>
      <x:c r="E188" s="91" t="str">
        <x:v>晚市</x:v>
      </x:c>
      <x:c r="F188" s="91" t="str">
        <x:v>工作日周二</x:v>
      </x:c>
      <x:c r="G188" s="91" t="str">
        <x:v>降温</x:v>
      </x:c>
      <x:c r="H188" s="91" t="str">
        <x:v>无</x:v>
      </x:c>
      <x:c r="I188" s="108" t="n">
        <x:v>34</x:v>
      </x:c>
      <x:c r="J188" s="108" t="n">
        <x:v>38</x:v>
      </x:c>
      <x:c r="K188" s="108" t="n">
        <x:v>38</x:v>
      </x:c>
      <x:c r="L188" s="108" t="n">
        <x:v>38</x:v>
      </x:c>
      <x:c r="M188" s="108" t="str">
        <x:v>沿用建议</x:v>
      </x:c>
      <x:c r="N188" s="108" t="n">
        <x:v>31</x:v>
      </x:c>
      <x:c r="O188" s="108" t="n">
        <x:v>45</x:v>
      </x:c>
      <x:c r="P188" s="108" t="n">
        <x:v>5</x:v>
      </x:c>
      <x:c r="Q188" s="91" t="str">
        <x:v>否</x:v>
      </x:c>
      <x:c r="R188" s="91" t="n">
        <x:v>3</x:v>
      </x:c>
      <x:c r="S188" s="91" t="str">
        <x:v>无</x:v>
      </x:c>
      <x:c r="T188" s="91" t="str">
        <x:v>模拟正常样本</x:v>
      </x:c>
      <x:c r="U188" s="91" t="n">
        <x:f>ABS(L188-N188)</x:f>
        <x:v>7</x:v>
      </x:c>
      <x:c r="V188" s="91" t="str">
        <x:f>IF(L188=K188,"沿用建议","人工调整")</x:f>
        <x:v>沿用建议</x:v>
      </x:c>
      <x:c r="W188" s="92" t="str">
        <x:f>IF(Q188="是","售罄风险",IF(P188&gt;3,"损耗风险","正常"))</x:f>
        <x:v>损耗风险</x:v>
      </x:c>
    </x:row>
    <x:row r="189" ht="20" customHeight="1">
      <x:c r="A189" s="105" t="n">
        <x:v>46203</x:v>
      </x:c>
      <x:c r="B189" s="91" t="str">
        <x:v>模拟店 B（新开门店）</x:v>
      </x:c>
      <x:c r="C189" s="91" t="str">
        <x:v>新店</x:v>
      </x:c>
      <x:c r="D189" s="91" t="str">
        <x:v>筒骨煨藕汤</x:v>
      </x:c>
      <x:c r="E189" s="91" t="str">
        <x:v>晚市</x:v>
      </x:c>
      <x:c r="F189" s="91" t="str">
        <x:v>工作日周二</x:v>
      </x:c>
      <x:c r="G189" s="91" t="str">
        <x:v>雨天</x:v>
      </x:c>
      <x:c r="H189" s="91" t="str">
        <x:v>无</x:v>
      </x:c>
      <x:c r="I189" s="108" t="n">
        <x:v>56</x:v>
      </x:c>
      <x:c r="J189" s="108" t="n">
        <x:v>63</x:v>
      </x:c>
      <x:c r="K189" s="108" t="n">
        <x:v>63</x:v>
      </x:c>
      <x:c r="L189" s="108" t="n">
        <x:v>63</x:v>
      </x:c>
      <x:c r="M189" s="108" t="str">
        <x:v>沿用建议</x:v>
      </x:c>
      <x:c r="N189" s="108" t="n">
        <x:v>62</x:v>
      </x:c>
      <x:c r="O189" s="108" t="n">
        <x:v>74</x:v>
      </x:c>
      <x:c r="P189" s="108" t="n">
        <x:v>0</x:v>
      </x:c>
      <x:c r="Q189" s="91" t="str">
        <x:v>否</x:v>
      </x:c>
      <x:c r="R189" s="91" t="n">
        <x:v>2</x:v>
      </x:c>
      <x:c r="S189" s="91" t="str">
        <x:v>无</x:v>
      </x:c>
      <x:c r="T189" s="91" t="str">
        <x:v>模拟正常样本</x:v>
      </x:c>
      <x:c r="U189" s="91" t="n">
        <x:f>ABS(L189-N189)</x:f>
        <x:v>1</x:v>
      </x:c>
      <x:c r="V189" s="91" t="str">
        <x:f>IF(L189=K189,"沿用建议","人工调整")</x:f>
        <x:v>沿用建议</x:v>
      </x:c>
      <x:c r="W189" s="92" t="str">
        <x:f>IF(Q189="是","售罄风险",IF(P189&gt;3,"损耗风险","正常"))</x:f>
        <x:v>正常</x:v>
      </x:c>
    </x:row>
    <x:row r="190" ht="20" customHeight="1">
      <x:c r="A190" s="105" t="n">
        <x:v>46203</x:v>
      </x:c>
      <x:c r="B190" s="91" t="str">
        <x:v>模拟店 B（新开门店）</x:v>
      </x:c>
      <x:c r="C190" s="91" t="str">
        <x:v>新店</x:v>
      </x:c>
      <x:c r="D190" s="91" t="str">
        <x:v>粉蒸排骨</x:v>
      </x:c>
      <x:c r="E190" s="91" t="str">
        <x:v>晚市</x:v>
      </x:c>
      <x:c r="F190" s="91" t="str">
        <x:v>工作日周二</x:v>
      </x:c>
      <x:c r="G190" s="91" t="str">
        <x:v>雨天</x:v>
      </x:c>
      <x:c r="H190" s="91" t="str">
        <x:v>无</x:v>
      </x:c>
      <x:c r="I190" s="108" t="n">
        <x:v>29</x:v>
      </x:c>
      <x:c r="J190" s="108" t="n">
        <x:v>32</x:v>
      </x:c>
      <x:c r="K190" s="108" t="n">
        <x:v>32</x:v>
      </x:c>
      <x:c r="L190" s="108" t="n">
        <x:v>32</x:v>
      </x:c>
      <x:c r="M190" s="108" t="str">
        <x:v>沿用建议</x:v>
      </x:c>
      <x:c r="N190" s="108" t="n">
        <x:v>29</x:v>
      </x:c>
      <x:c r="O190" s="108" t="n">
        <x:v>40</x:v>
      </x:c>
      <x:c r="P190" s="108" t="n">
        <x:v>1</x:v>
      </x:c>
      <x:c r="Q190" s="91" t="str">
        <x:v>否</x:v>
      </x:c>
      <x:c r="R190" s="91" t="n">
        <x:v>0</x:v>
      </x:c>
      <x:c r="S190" s="91" t="str">
        <x:v>无</x:v>
      </x:c>
      <x:c r="T190" s="91" t="str">
        <x:v>模拟正常样本</x:v>
      </x:c>
      <x:c r="U190" s="91" t="n">
        <x:f>ABS(L190-N190)</x:f>
        <x:v>3</x:v>
      </x:c>
      <x:c r="V190" s="91" t="str">
        <x:f>IF(L190=K190,"沿用建议","人工调整")</x:f>
        <x:v>沿用建议</x:v>
      </x:c>
      <x:c r="W190" s="92" t="str">
        <x:f>IF(Q190="是","售罄风险",IF(P190&gt;3,"损耗风险","正常"))</x:f>
        <x:v>正常</x:v>
      </x:c>
    </x:row>
    <x:row r="191" ht="20" customHeight="1">
      <x:c r="A191" s="105" t="n">
        <x:v>46203</x:v>
      </x:c>
      <x:c r="B191" s="91" t="str">
        <x:v>模拟店 B（新开门店）</x:v>
      </x:c>
      <x:c r="C191" s="91" t="str">
        <x:v>新店</x:v>
      </x:c>
      <x:c r="D191" s="91" t="str">
        <x:v>桂花糖藕</x:v>
      </x:c>
      <x:c r="E191" s="91" t="str">
        <x:v>晚市</x:v>
      </x:c>
      <x:c r="F191" s="91" t="str">
        <x:v>工作日周二</x:v>
      </x:c>
      <x:c r="G191" s="91" t="str">
        <x:v>雨天</x:v>
      </x:c>
      <x:c r="H191" s="91" t="str">
        <x:v>无</x:v>
      </x:c>
      <x:c r="I191" s="108" t="n">
        <x:v>20</x:v>
      </x:c>
      <x:c r="J191" s="108" t="n">
        <x:v>24</x:v>
      </x:c>
      <x:c r="K191" s="108" t="n">
        <x:v>24</x:v>
      </x:c>
      <x:c r="L191" s="108" t="n">
        <x:v>24</x:v>
      </x:c>
      <x:c r="M191" s="108" t="str">
        <x:v>沿用建议</x:v>
      </x:c>
      <x:c r="N191" s="108" t="n">
        <x:v>22</x:v>
      </x:c>
      <x:c r="O191" s="108" t="n">
        <x:v>31</x:v>
      </x:c>
      <x:c r="P191" s="108" t="n">
        <x:v>1</x:v>
      </x:c>
      <x:c r="Q191" s="91" t="str">
        <x:v>否</x:v>
      </x:c>
      <x:c r="R191" s="91" t="n">
        <x:v>0</x:v>
      </x:c>
      <x:c r="S191" s="91" t="str">
        <x:v>无</x:v>
      </x:c>
      <x:c r="T191" s="91" t="str">
        <x:v>模拟正常样本</x:v>
      </x:c>
      <x:c r="U191" s="91" t="n">
        <x:f>ABS(L191-N191)</x:f>
        <x:v>2</x:v>
      </x:c>
      <x:c r="V191" s="91" t="str">
        <x:f>IF(L191=K191,"沿用建议","人工调整")</x:f>
        <x:v>沿用建议</x:v>
      </x:c>
      <x:c r="W191" s="92" t="str">
        <x:f>IF(Q191="是","售罄风险",IF(P191&gt;3,"损耗风险","正常"))</x:f>
        <x:v>正常</x:v>
      </x:c>
    </x:row>
    <x:row r="192" ht="20" customHeight="1">
      <x:c r="A192" s="105" t="n">
        <x:v>46203</x:v>
      </x:c>
      <x:c r="B192" s="91" t="str">
        <x:v>模拟店 B（新开门店）</x:v>
      </x:c>
      <x:c r="C192" s="91" t="str">
        <x:v>新店</x:v>
      </x:c>
      <x:c r="D192" s="91" t="str">
        <x:v>藕夹</x:v>
      </x:c>
      <x:c r="E192" s="91" t="str">
        <x:v>晚市</x:v>
      </x:c>
      <x:c r="F192" s="91" t="str">
        <x:v>工作日周二</x:v>
      </x:c>
      <x:c r="G192" s="91" t="str">
        <x:v>雨天</x:v>
      </x:c>
      <x:c r="H192" s="91" t="str">
        <x:v>无</x:v>
      </x:c>
      <x:c r="I192" s="108" t="n">
        <x:v>24</x:v>
      </x:c>
      <x:c r="J192" s="108" t="n">
        <x:v>27</x:v>
      </x:c>
      <x:c r="K192" s="108" t="n">
        <x:v>27</x:v>
      </x:c>
      <x:c r="L192" s="108" t="n">
        <x:v>25</x:v>
      </x:c>
      <x:c r="M192" s="108" t="str">
        <x:v>当班经验判断</x:v>
      </x:c>
      <x:c r="N192" s="108" t="n">
        <x:v>23</x:v>
      </x:c>
      <x:c r="O192" s="108" t="n">
        <x:v>37</x:v>
      </x:c>
      <x:c r="P192" s="108" t="n">
        <x:v>0</x:v>
      </x:c>
      <x:c r="Q192" s="91" t="str">
        <x:v>否</x:v>
      </x:c>
      <x:c r="R192" s="91" t="n">
        <x:v>2</x:v>
      </x:c>
      <x:c r="S192" s="91" t="str">
        <x:v>无</x:v>
      </x:c>
      <x:c r="T192" s="91" t="str">
        <x:v>模拟正常样本</x:v>
      </x:c>
      <x:c r="U192" s="91" t="n">
        <x:f>ABS(L192-N192)</x:f>
        <x:v>2</x:v>
      </x:c>
      <x:c r="V192" s="91" t="str">
        <x:f>IF(L192=K192,"沿用建议","人工调整")</x:f>
        <x:v>人工调整</x:v>
      </x:c>
      <x:c r="W192" s="92" t="str">
        <x:f>IF(Q192="是","售罄风险",IF(P192&gt;3,"损耗风险","正常"))</x:f>
        <x:v>正常</x:v>
      </x:c>
    </x:row>
    <x:row r="193" ht="20" customHeight="1">
      <x:c r="A193" s="105" t="n">
        <x:v>46203</x:v>
      </x:c>
      <x:c r="B193" s="91" t="str">
        <x:v>模拟店 C（社区门店）</x:v>
      </x:c>
      <x:c r="C193" s="91" t="str">
        <x:v>成长期</x:v>
      </x:c>
      <x:c r="D193" s="91" t="str">
        <x:v>筒骨煨藕汤</x:v>
      </x:c>
      <x:c r="E193" s="91" t="str">
        <x:v>晚市</x:v>
      </x:c>
      <x:c r="F193" s="91" t="str">
        <x:v>工作日周二</x:v>
      </x:c>
      <x:c r="G193" s="91" t="str">
        <x:v>常温</x:v>
      </x:c>
      <x:c r="H193" s="91" t="str">
        <x:v>无</x:v>
      </x:c>
      <x:c r="I193" s="108" t="n">
        <x:v>59</x:v>
      </x:c>
      <x:c r="J193" s="108" t="n">
        <x:v>66</x:v>
      </x:c>
      <x:c r="K193" s="108" t="n">
        <x:v>66</x:v>
      </x:c>
      <x:c r="L193" s="108" t="n">
        <x:v>66</x:v>
      </x:c>
      <x:c r="M193" s="108" t="str">
        <x:v>沿用建议</x:v>
      </x:c>
      <x:c r="N193" s="108" t="n">
        <x:v>57</x:v>
      </x:c>
      <x:c r="O193" s="108" t="n">
        <x:v>78</x:v>
      </x:c>
      <x:c r="P193" s="108" t="n">
        <x:v>7</x:v>
      </x:c>
      <x:c r="Q193" s="91" t="str">
        <x:v>否</x:v>
      </x:c>
      <x:c r="R193" s="91" t="n">
        <x:v>0</x:v>
      </x:c>
      <x:c r="S193" s="91" t="str">
        <x:v>无</x:v>
      </x:c>
      <x:c r="T193" s="91" t="str">
        <x:v>模拟正常样本</x:v>
      </x:c>
      <x:c r="U193" s="91" t="n">
        <x:f>ABS(L193-N193)</x:f>
        <x:v>9</x:v>
      </x:c>
      <x:c r="V193" s="91" t="str">
        <x:f>IF(L193=K193,"沿用建议","人工调整")</x:f>
        <x:v>沿用建议</x:v>
      </x:c>
      <x:c r="W193" s="92" t="str">
        <x:f>IF(Q193="是","售罄风险",IF(P193&gt;3,"损耗风险","正常"))</x:f>
        <x:v>损耗风险</x:v>
      </x:c>
    </x:row>
    <x:row r="194" ht="20" customHeight="1">
      <x:c r="A194" s="105" t="n">
        <x:v>46203</x:v>
      </x:c>
      <x:c r="B194" s="91" t="str">
        <x:v>模拟店 C（社区门店）</x:v>
      </x:c>
      <x:c r="C194" s="91" t="str">
        <x:v>成长期</x:v>
      </x:c>
      <x:c r="D194" s="91" t="str">
        <x:v>粉蒸排骨</x:v>
      </x:c>
      <x:c r="E194" s="91" t="str">
        <x:v>晚市</x:v>
      </x:c>
      <x:c r="F194" s="91" t="str">
        <x:v>工作日周二</x:v>
      </x:c>
      <x:c r="G194" s="91" t="str">
        <x:v>常温</x:v>
      </x:c>
      <x:c r="H194" s="91" t="str">
        <x:v>无</x:v>
      </x:c>
      <x:c r="I194" s="108" t="n">
        <x:v>35</x:v>
      </x:c>
      <x:c r="J194" s="108" t="n">
        <x:v>39</x:v>
      </x:c>
      <x:c r="K194" s="108" t="n">
        <x:v>39</x:v>
      </x:c>
      <x:c r="L194" s="108" t="n">
        <x:v>39</x:v>
      </x:c>
      <x:c r="M194" s="108" t="str">
        <x:v>沿用建议</x:v>
      </x:c>
      <x:c r="N194" s="108" t="n">
        <x:v>35</x:v>
      </x:c>
      <x:c r="O194" s="108" t="n">
        <x:v>53</x:v>
      </x:c>
      <x:c r="P194" s="108" t="n">
        <x:v>2</x:v>
      </x:c>
      <x:c r="Q194" s="91" t="str">
        <x:v>否</x:v>
      </x:c>
      <x:c r="R194" s="91" t="n">
        <x:v>0</x:v>
      </x:c>
      <x:c r="S194" s="91" t="str">
        <x:v>待复核</x:v>
      </x:c>
      <x:c r="T194" s="91" t="str">
        <x:v>关联异常处置日志</x:v>
      </x:c>
      <x:c r="U194" s="91" t="n">
        <x:f>ABS(L194-N194)</x:f>
        <x:v>4</x:v>
      </x:c>
      <x:c r="V194" s="91" t="str">
        <x:f>IF(L194=K194,"沿用建议","人工调整")</x:f>
        <x:v>沿用建议</x:v>
      </x:c>
      <x:c r="W194" s="92" t="str">
        <x:f>IF(Q194="是","售罄风险",IF(P194&gt;3,"损耗风险","正常"))</x:f>
        <x:v>正常</x:v>
      </x:c>
    </x:row>
    <x:row r="195" ht="20" customHeight="1">
      <x:c r="A195" s="105" t="n">
        <x:v>46203</x:v>
      </x:c>
      <x:c r="B195" s="91" t="str">
        <x:v>模拟店 C（社区门店）</x:v>
      </x:c>
      <x:c r="C195" s="91" t="str">
        <x:v>成长期</x:v>
      </x:c>
      <x:c r="D195" s="91" t="str">
        <x:v>桂花糖藕</x:v>
      </x:c>
      <x:c r="E195" s="91" t="str">
        <x:v>晚市</x:v>
      </x:c>
      <x:c r="F195" s="91" t="str">
        <x:v>工作日周二</x:v>
      </x:c>
      <x:c r="G195" s="91" t="str">
        <x:v>常温</x:v>
      </x:c>
      <x:c r="H195" s="91" t="str">
        <x:v>无</x:v>
      </x:c>
      <x:c r="I195" s="108" t="n">
        <x:v>24</x:v>
      </x:c>
      <x:c r="J195" s="108" t="n">
        <x:v>28</x:v>
      </x:c>
      <x:c r="K195" s="108" t="n">
        <x:v>28</x:v>
      </x:c>
      <x:c r="L195" s="108" t="n">
        <x:v>28</x:v>
      </x:c>
      <x:c r="M195" s="108" t="str">
        <x:v>沿用建议</x:v>
      </x:c>
      <x:c r="N195" s="108" t="n">
        <x:v>26</x:v>
      </x:c>
      <x:c r="O195" s="108" t="n">
        <x:v>39</x:v>
      </x:c>
      <x:c r="P195" s="108" t="n">
        <x:v>1</x:v>
      </x:c>
      <x:c r="Q195" s="91" t="str">
        <x:v>否</x:v>
      </x:c>
      <x:c r="R195" s="91" t="n">
        <x:v>1</x:v>
      </x:c>
      <x:c r="S195" s="91" t="str">
        <x:v>无</x:v>
      </x:c>
      <x:c r="T195" s="91" t="str">
        <x:v>模拟正常样本</x:v>
      </x:c>
      <x:c r="U195" s="91" t="n">
        <x:f>ABS(L195-N195)</x:f>
        <x:v>2</x:v>
      </x:c>
      <x:c r="V195" s="91" t="str">
        <x:f>IF(L195=K195,"沿用建议","人工调整")</x:f>
        <x:v>沿用建议</x:v>
      </x:c>
      <x:c r="W195" s="92" t="str">
        <x:f>IF(Q195="是","售罄风险",IF(P195&gt;3,"损耗风险","正常"))</x:f>
        <x:v>正常</x:v>
      </x:c>
    </x:row>
    <x:row r="196" ht="20" customHeight="1">
      <x:c r="A196" s="105" t="n">
        <x:v>46203</x:v>
      </x:c>
      <x:c r="B196" s="91" t="str">
        <x:v>模拟店 C（社区门店）</x:v>
      </x:c>
      <x:c r="C196" s="91" t="str">
        <x:v>成长期</x:v>
      </x:c>
      <x:c r="D196" s="91" t="str">
        <x:v>藕夹</x:v>
      </x:c>
      <x:c r="E196" s="91" t="str">
        <x:v>晚市</x:v>
      </x:c>
      <x:c r="F196" s="91" t="str">
        <x:v>工作日周二</x:v>
      </x:c>
      <x:c r="G196" s="91" t="str">
        <x:v>常温</x:v>
      </x:c>
      <x:c r="H196" s="91" t="str">
        <x:v>无</x:v>
      </x:c>
      <x:c r="I196" s="108" t="n">
        <x:v>27</x:v>
      </x:c>
      <x:c r="J196" s="108" t="n">
        <x:v>31</x:v>
      </x:c>
      <x:c r="K196" s="108" t="n">
        <x:v>31</x:v>
      </x:c>
      <x:c r="L196" s="108" t="n">
        <x:v>31</x:v>
      </x:c>
      <x:c r="M196" s="108" t="str">
        <x:v>沿用建议</x:v>
      </x:c>
      <x:c r="N196" s="108" t="n">
        <x:v>29</x:v>
      </x:c>
      <x:c r="O196" s="108" t="n">
        <x:v>43</x:v>
      </x:c>
      <x:c r="P196" s="108" t="n">
        <x:v>0</x:v>
      </x:c>
      <x:c r="Q196" s="91" t="str">
        <x:v>否</x:v>
      </x:c>
      <x:c r="R196" s="91" t="n">
        <x:v>2</x:v>
      </x:c>
      <x:c r="S196" s="91" t="str">
        <x:v>无</x:v>
      </x:c>
      <x:c r="T196" s="91" t="str">
        <x:v>模拟正常样本</x:v>
      </x:c>
      <x:c r="U196" s="91" t="n">
        <x:f>ABS(L196-N196)</x:f>
        <x:v>2</x:v>
      </x:c>
      <x:c r="V196" s="91" t="str">
        <x:f>IF(L196=K196,"沿用建议","人工调整")</x:f>
        <x:v>沿用建议</x:v>
      </x:c>
      <x:c r="W196" s="92" t="str">
        <x:f>IF(Q196="是","售罄风险",IF(P196&gt;3,"损耗风险","正常"))</x:f>
        <x:v>正常</x:v>
      </x:c>
    </x:row>
    <x:row r="197" ht="20" customHeight="1">
      <x:c r="A197" s="105" t="n">
        <x:v>46204</x:v>
      </x:c>
      <x:c r="B197" s="91" t="str">
        <x:v>模拟店 A（成熟商圈）</x:v>
      </x:c>
      <x:c r="C197" s="91" t="str">
        <x:v>成熟店</x:v>
      </x:c>
      <x:c r="D197" s="91" t="str">
        <x:v>筒骨煨藕汤</x:v>
      </x:c>
      <x:c r="E197" s="91" t="str">
        <x:v>晚市</x:v>
      </x:c>
      <x:c r="F197" s="91" t="str">
        <x:v>工作日周三</x:v>
      </x:c>
      <x:c r="G197" s="91" t="str">
        <x:v>雨天</x:v>
      </x:c>
      <x:c r="H197" s="91" t="str">
        <x:v>无</x:v>
      </x:c>
      <x:c r="I197" s="108" t="n">
        <x:v>75</x:v>
      </x:c>
      <x:c r="J197" s="108" t="n">
        <x:v>84</x:v>
      </x:c>
      <x:c r="K197" s="108" t="n">
        <x:v>84</x:v>
      </x:c>
      <x:c r="L197" s="108" t="n">
        <x:v>84</x:v>
      </x:c>
      <x:c r="M197" s="108" t="str">
        <x:v>沿用建议</x:v>
      </x:c>
      <x:c r="N197" s="108" t="n">
        <x:v>74</x:v>
      </x:c>
      <x:c r="O197" s="108" t="n">
        <x:v>93</x:v>
      </x:c>
      <x:c r="P197" s="108" t="n">
        <x:v>8</x:v>
      </x:c>
      <x:c r="Q197" s="91" t="str">
        <x:v>否</x:v>
      </x:c>
      <x:c r="R197" s="91" t="n">
        <x:v>1</x:v>
      </x:c>
      <x:c r="S197" s="91" t="str">
        <x:v>无</x:v>
      </x:c>
      <x:c r="T197" s="91" t="str">
        <x:v>模拟正常样本</x:v>
      </x:c>
      <x:c r="U197" s="91" t="n">
        <x:f>ABS(L197-N197)</x:f>
        <x:v>10</x:v>
      </x:c>
      <x:c r="V197" s="91" t="str">
        <x:f>IF(L197=K197,"沿用建议","人工调整")</x:f>
        <x:v>沿用建议</x:v>
      </x:c>
      <x:c r="W197" s="92" t="str">
        <x:f>IF(Q197="是","售罄风险",IF(P197&gt;3,"损耗风险","正常"))</x:f>
        <x:v>损耗风险</x:v>
      </x:c>
    </x:row>
    <x:row r="198" ht="20" customHeight="1">
      <x:c r="A198" s="105" t="n">
        <x:v>46204</x:v>
      </x:c>
      <x:c r="B198" s="91" t="str">
        <x:v>模拟店 A（成熟商圈）</x:v>
      </x:c>
      <x:c r="C198" s="91" t="str">
        <x:v>成熟店</x:v>
      </x:c>
      <x:c r="D198" s="91" t="str">
        <x:v>粉蒸排骨</x:v>
      </x:c>
      <x:c r="E198" s="91" t="str">
        <x:v>晚市</x:v>
      </x:c>
      <x:c r="F198" s="91" t="str">
        <x:v>工作日周三</x:v>
      </x:c>
      <x:c r="G198" s="91" t="str">
        <x:v>雨天</x:v>
      </x:c>
      <x:c r="H198" s="91" t="str">
        <x:v>无</x:v>
      </x:c>
      <x:c r="I198" s="108" t="n">
        <x:v>39</x:v>
      </x:c>
      <x:c r="J198" s="108" t="n">
        <x:v>43</x:v>
      </x:c>
      <x:c r="K198" s="108" t="n">
        <x:v>43</x:v>
      </x:c>
      <x:c r="L198" s="108" t="n">
        <x:v>43</x:v>
      </x:c>
      <x:c r="M198" s="108" t="str">
        <x:v>沿用建议</x:v>
      </x:c>
      <x:c r="N198" s="108" t="n">
        <x:v>35</x:v>
      </x:c>
      <x:c r="O198" s="108" t="n">
        <x:v>56</x:v>
      </x:c>
      <x:c r="P198" s="108" t="n">
        <x:v>6</x:v>
      </x:c>
      <x:c r="Q198" s="91" t="str">
        <x:v>否</x:v>
      </x:c>
      <x:c r="R198" s="91" t="n">
        <x:v>2</x:v>
      </x:c>
      <x:c r="S198" s="91" t="str">
        <x:v>无</x:v>
      </x:c>
      <x:c r="T198" s="91" t="str">
        <x:v>模拟正常样本</x:v>
      </x:c>
      <x:c r="U198" s="91" t="n">
        <x:f>ABS(L198-N198)</x:f>
        <x:v>8</x:v>
      </x:c>
      <x:c r="V198" s="91" t="str">
        <x:f>IF(L198=K198,"沿用建议","人工调整")</x:f>
        <x:v>沿用建议</x:v>
      </x:c>
      <x:c r="W198" s="92" t="str">
        <x:f>IF(Q198="是","售罄风险",IF(P198&gt;3,"损耗风险","正常"))</x:f>
        <x:v>损耗风险</x:v>
      </x:c>
    </x:row>
    <x:row r="199" ht="20" customHeight="1">
      <x:c r="A199" s="105" t="n">
        <x:v>46204</x:v>
      </x:c>
      <x:c r="B199" s="91" t="str">
        <x:v>模拟店 A（成熟商圈）</x:v>
      </x:c>
      <x:c r="C199" s="91" t="str">
        <x:v>成熟店</x:v>
      </x:c>
      <x:c r="D199" s="91" t="str">
        <x:v>桂花糖藕</x:v>
      </x:c>
      <x:c r="E199" s="91" t="str">
        <x:v>晚市</x:v>
      </x:c>
      <x:c r="F199" s="91" t="str">
        <x:v>工作日周三</x:v>
      </x:c>
      <x:c r="G199" s="91" t="str">
        <x:v>雨天</x:v>
      </x:c>
      <x:c r="H199" s="91" t="str">
        <x:v>无</x:v>
      </x:c>
      <x:c r="I199" s="108" t="n">
        <x:v>28</x:v>
      </x:c>
      <x:c r="J199" s="108" t="n">
        <x:v>32</x:v>
      </x:c>
      <x:c r="K199" s="108" t="n">
        <x:v>32</x:v>
      </x:c>
      <x:c r="L199" s="108" t="n">
        <x:v>32</x:v>
      </x:c>
      <x:c r="M199" s="108" t="str">
        <x:v>沿用建议</x:v>
      </x:c>
      <x:c r="N199" s="108" t="n">
        <x:v>28</x:v>
      </x:c>
      <x:c r="O199" s="108" t="n">
        <x:v>42</x:v>
      </x:c>
      <x:c r="P199" s="108" t="n">
        <x:v>3</x:v>
      </x:c>
      <x:c r="Q199" s="91" t="str">
        <x:v>否</x:v>
      </x:c>
      <x:c r="R199" s="91" t="n">
        <x:v>3</x:v>
      </x:c>
      <x:c r="S199" s="91" t="str">
        <x:v>无</x:v>
      </x:c>
      <x:c r="T199" s="91" t="str">
        <x:v>模拟正常样本</x:v>
      </x:c>
      <x:c r="U199" s="91" t="n">
        <x:f>ABS(L199-N199)</x:f>
        <x:v>4</x:v>
      </x:c>
      <x:c r="V199" s="91" t="str">
        <x:f>IF(L199=K199,"沿用建议","人工调整")</x:f>
        <x:v>沿用建议</x:v>
      </x:c>
      <x:c r="W199" s="92" t="str">
        <x:f>IF(Q199="是","售罄风险",IF(P199&gt;3,"损耗风险","正常"))</x:f>
        <x:v>正常</x:v>
      </x:c>
    </x:row>
    <x:row r="200" ht="20" customHeight="1">
      <x:c r="A200" s="105" t="n">
        <x:v>46204</x:v>
      </x:c>
      <x:c r="B200" s="91" t="str">
        <x:v>模拟店 A（成熟商圈）</x:v>
      </x:c>
      <x:c r="C200" s="91" t="str">
        <x:v>成熟店</x:v>
      </x:c>
      <x:c r="D200" s="91" t="str">
        <x:v>藕夹</x:v>
      </x:c>
      <x:c r="E200" s="91" t="str">
        <x:v>晚市</x:v>
      </x:c>
      <x:c r="F200" s="91" t="str">
        <x:v>工作日周三</x:v>
      </x:c>
      <x:c r="G200" s="91" t="str">
        <x:v>雨天</x:v>
      </x:c>
      <x:c r="H200" s="91" t="str">
        <x:v>无</x:v>
      </x:c>
      <x:c r="I200" s="108" t="n">
        <x:v>31</x:v>
      </x:c>
      <x:c r="J200" s="108" t="n">
        <x:v>35</x:v>
      </x:c>
      <x:c r="K200" s="108" t="n">
        <x:v>35</x:v>
      </x:c>
      <x:c r="L200" s="108" t="n">
        <x:v>35</x:v>
      </x:c>
      <x:c r="M200" s="108" t="str">
        <x:v>沿用建议</x:v>
      </x:c>
      <x:c r="N200" s="108" t="n">
        <x:v>30</x:v>
      </x:c>
      <x:c r="O200" s="108" t="n">
        <x:v>45</x:v>
      </x:c>
      <x:c r="P200" s="108" t="n">
        <x:v>3</x:v>
      </x:c>
      <x:c r="Q200" s="91" t="str">
        <x:v>否</x:v>
      </x:c>
      <x:c r="R200" s="91" t="n">
        <x:v>1</x:v>
      </x:c>
      <x:c r="S200" s="91" t="str">
        <x:v>无</x:v>
      </x:c>
      <x:c r="T200" s="91" t="str">
        <x:v>模拟正常样本</x:v>
      </x:c>
      <x:c r="U200" s="91" t="n">
        <x:f>ABS(L200-N200)</x:f>
        <x:v>5</x:v>
      </x:c>
      <x:c r="V200" s="91" t="str">
        <x:f>IF(L200=K200,"沿用建议","人工调整")</x:f>
        <x:v>沿用建议</x:v>
      </x:c>
      <x:c r="W200" s="92" t="str">
        <x:f>IF(Q200="是","售罄风险",IF(P200&gt;3,"损耗风险","正常"))</x:f>
        <x:v>正常</x:v>
      </x:c>
    </x:row>
    <x:row r="201" ht="20" customHeight="1">
      <x:c r="A201" s="105" t="n">
        <x:v>46204</x:v>
      </x:c>
      <x:c r="B201" s="91" t="str">
        <x:v>模拟店 B（新开门店）</x:v>
      </x:c>
      <x:c r="C201" s="91" t="str">
        <x:v>新店</x:v>
      </x:c>
      <x:c r="D201" s="91" t="str">
        <x:v>筒骨煨藕汤</x:v>
      </x:c>
      <x:c r="E201" s="91" t="str">
        <x:v>晚市</x:v>
      </x:c>
      <x:c r="F201" s="91" t="str">
        <x:v>工作日周三</x:v>
      </x:c>
      <x:c r="G201" s="91" t="str">
        <x:v>常温</x:v>
      </x:c>
      <x:c r="H201" s="91" t="str">
        <x:v>无</x:v>
      </x:c>
      <x:c r="I201" s="108" t="n">
        <x:v>51</x:v>
      </x:c>
      <x:c r="J201" s="108" t="n">
        <x:v>58</x:v>
      </x:c>
      <x:c r="K201" s="108" t="n">
        <x:v>58</x:v>
      </x:c>
      <x:c r="L201" s="108" t="n">
        <x:v>58</x:v>
      </x:c>
      <x:c r="M201" s="108" t="str">
        <x:v>沿用建议</x:v>
      </x:c>
      <x:c r="N201" s="108" t="n">
        <x:v>51</x:v>
      </x:c>
      <x:c r="O201" s="108" t="n">
        <x:v>72</x:v>
      </x:c>
      <x:c r="P201" s="108" t="n">
        <x:v>5</x:v>
      </x:c>
      <x:c r="Q201" s="91" t="str">
        <x:v>否</x:v>
      </x:c>
      <x:c r="R201" s="91" t="n">
        <x:v>0</x:v>
      </x:c>
      <x:c r="S201" s="91" t="str">
        <x:v>无</x:v>
      </x:c>
      <x:c r="T201" s="91" t="str">
        <x:v>模拟正常样本</x:v>
      </x:c>
      <x:c r="U201" s="91" t="n">
        <x:f>ABS(L201-N201)</x:f>
        <x:v>7</x:v>
      </x:c>
      <x:c r="V201" s="91" t="str">
        <x:f>IF(L201=K201,"沿用建议","人工调整")</x:f>
        <x:v>沿用建议</x:v>
      </x:c>
      <x:c r="W201" s="92" t="str">
        <x:f>IF(Q201="是","售罄风险",IF(P201&gt;3,"损耗风险","正常"))</x:f>
        <x:v>损耗风险</x:v>
      </x:c>
    </x:row>
    <x:row r="202" ht="20" customHeight="1">
      <x:c r="A202" s="105" t="n">
        <x:v>46204</x:v>
      </x:c>
      <x:c r="B202" s="91" t="str">
        <x:v>模拟店 B（新开门店）</x:v>
      </x:c>
      <x:c r="C202" s="91" t="str">
        <x:v>新店</x:v>
      </x:c>
      <x:c r="D202" s="91" t="str">
        <x:v>粉蒸排骨</x:v>
      </x:c>
      <x:c r="E202" s="91" t="str">
        <x:v>晚市</x:v>
      </x:c>
      <x:c r="F202" s="91" t="str">
        <x:v>工作日周三</x:v>
      </x:c>
      <x:c r="G202" s="91" t="str">
        <x:v>常温</x:v>
      </x:c>
      <x:c r="H202" s="91" t="str">
        <x:v>无</x:v>
      </x:c>
      <x:c r="I202" s="108" t="n">
        <x:v>32</x:v>
      </x:c>
      <x:c r="J202" s="108" t="n">
        <x:v>36</x:v>
      </x:c>
      <x:c r="K202" s="108" t="n">
        <x:v>36</x:v>
      </x:c>
      <x:c r="L202" s="108" t="n">
        <x:v>36</x:v>
      </x:c>
      <x:c r="M202" s="108" t="str">
        <x:v>沿用建议</x:v>
      </x:c>
      <x:c r="N202" s="108" t="n">
        <x:v>33</x:v>
      </x:c>
      <x:c r="O202" s="108" t="n">
        <x:v>47</x:v>
      </x:c>
      <x:c r="P202" s="108" t="n">
        <x:v>1</x:v>
      </x:c>
      <x:c r="Q202" s="91" t="str">
        <x:v>否</x:v>
      </x:c>
      <x:c r="R202" s="91" t="n">
        <x:v>0</x:v>
      </x:c>
      <x:c r="S202" s="91" t="str">
        <x:v>待复核</x:v>
      </x:c>
      <x:c r="T202" s="91" t="str">
        <x:v>关联异常处置日志</x:v>
      </x:c>
      <x:c r="U202" s="91" t="n">
        <x:f>ABS(L202-N202)</x:f>
        <x:v>3</x:v>
      </x:c>
      <x:c r="V202" s="91" t="str">
        <x:f>IF(L202=K202,"沿用建议","人工调整")</x:f>
        <x:v>沿用建议</x:v>
      </x:c>
      <x:c r="W202" s="92" t="str">
        <x:f>IF(Q202="是","售罄风险",IF(P202&gt;3,"损耗风险","正常"))</x:f>
        <x:v>正常</x:v>
      </x:c>
    </x:row>
    <x:row r="203" ht="20" customHeight="1">
      <x:c r="A203" s="105" t="n">
        <x:v>46204</x:v>
      </x:c>
      <x:c r="B203" s="91" t="str">
        <x:v>模拟店 B（新开门店）</x:v>
      </x:c>
      <x:c r="C203" s="91" t="str">
        <x:v>新店</x:v>
      </x:c>
      <x:c r="D203" s="91" t="str">
        <x:v>桂花糖藕</x:v>
      </x:c>
      <x:c r="E203" s="91" t="str">
        <x:v>晚市</x:v>
      </x:c>
      <x:c r="F203" s="91" t="str">
        <x:v>工作日周三</x:v>
      </x:c>
      <x:c r="G203" s="91" t="str">
        <x:v>常温</x:v>
      </x:c>
      <x:c r="H203" s="91" t="str">
        <x:v>无</x:v>
      </x:c>
      <x:c r="I203" s="108" t="n">
        <x:v>22</x:v>
      </x:c>
      <x:c r="J203" s="108" t="n">
        <x:v>26</x:v>
      </x:c>
      <x:c r="K203" s="108" t="n">
        <x:v>26</x:v>
      </x:c>
      <x:c r="L203" s="108" t="n">
        <x:v>26</x:v>
      </x:c>
      <x:c r="M203" s="108" t="str">
        <x:v>沿用建议</x:v>
      </x:c>
      <x:c r="N203" s="108" t="n">
        <x:v>21</x:v>
      </x:c>
      <x:c r="O203" s="108" t="n">
        <x:v>34</x:v>
      </x:c>
      <x:c r="P203" s="108" t="n">
        <x:v>4</x:v>
      </x:c>
      <x:c r="Q203" s="91" t="str">
        <x:v>否</x:v>
      </x:c>
      <x:c r="R203" s="91" t="n">
        <x:v>0</x:v>
      </x:c>
      <x:c r="S203" s="91" t="str">
        <x:v>无</x:v>
      </x:c>
      <x:c r="T203" s="91" t="str">
        <x:v>模拟正常样本</x:v>
      </x:c>
      <x:c r="U203" s="91" t="n">
        <x:f>ABS(L203-N203)</x:f>
        <x:v>5</x:v>
      </x:c>
      <x:c r="V203" s="91" t="str">
        <x:f>IF(L203=K203,"沿用建议","人工调整")</x:f>
        <x:v>沿用建议</x:v>
      </x:c>
      <x:c r="W203" s="92" t="str">
        <x:f>IF(Q203="是","售罄风险",IF(P203&gt;3,"损耗风险","正常"))</x:f>
        <x:v>损耗风险</x:v>
      </x:c>
    </x:row>
    <x:row r="204" ht="20" customHeight="1">
      <x:c r="A204" s="105" t="n">
        <x:v>46204</x:v>
      </x:c>
      <x:c r="B204" s="91" t="str">
        <x:v>模拟店 B（新开门店）</x:v>
      </x:c>
      <x:c r="C204" s="91" t="str">
        <x:v>新店</x:v>
      </x:c>
      <x:c r="D204" s="91" t="str">
        <x:v>藕夹</x:v>
      </x:c>
      <x:c r="E204" s="91" t="str">
        <x:v>晚市</x:v>
      </x:c>
      <x:c r="F204" s="91" t="str">
        <x:v>工作日周三</x:v>
      </x:c>
      <x:c r="G204" s="91" t="str">
        <x:v>常温</x:v>
      </x:c>
      <x:c r="H204" s="91" t="str">
        <x:v>无</x:v>
      </x:c>
      <x:c r="I204" s="108" t="n">
        <x:v>26</x:v>
      </x:c>
      <x:c r="J204" s="108" t="n">
        <x:v>30</x:v>
      </x:c>
      <x:c r="K204" s="108" t="n">
        <x:v>30</x:v>
      </x:c>
      <x:c r="L204" s="108" t="n">
        <x:v>30</x:v>
      </x:c>
      <x:c r="M204" s="108" t="str">
        <x:v>沿用建议</x:v>
      </x:c>
      <x:c r="N204" s="108" t="n">
        <x:v>26</x:v>
      </x:c>
      <x:c r="O204" s="108" t="n">
        <x:v>45</x:v>
      </x:c>
      <x:c r="P204" s="108" t="n">
        <x:v>2</x:v>
      </x:c>
      <x:c r="Q204" s="91" t="str">
        <x:v>否</x:v>
      </x:c>
      <x:c r="R204" s="91" t="n">
        <x:v>3</x:v>
      </x:c>
      <x:c r="S204" s="91" t="str">
        <x:v>无</x:v>
      </x:c>
      <x:c r="T204" s="91" t="str">
        <x:v>模拟正常样本</x:v>
      </x:c>
      <x:c r="U204" s="91" t="n">
        <x:f>ABS(L204-N204)</x:f>
        <x:v>4</x:v>
      </x:c>
      <x:c r="V204" s="91" t="str">
        <x:f>IF(L204=K204,"沿用建议","人工调整")</x:f>
        <x:v>沿用建议</x:v>
      </x:c>
      <x:c r="W204" s="92" t="str">
        <x:f>IF(Q204="是","售罄风险",IF(P204&gt;3,"损耗风险","正常"))</x:f>
        <x:v>正常</x:v>
      </x:c>
    </x:row>
    <x:row r="205" ht="20" customHeight="1">
      <x:c r="A205" s="105" t="n">
        <x:v>46204</x:v>
      </x:c>
      <x:c r="B205" s="91" t="str">
        <x:v>模拟店 C（社区门店）</x:v>
      </x:c>
      <x:c r="C205" s="91" t="str">
        <x:v>成长期</x:v>
      </x:c>
      <x:c r="D205" s="91" t="str">
        <x:v>筒骨煨藕汤</x:v>
      </x:c>
      <x:c r="E205" s="91" t="str">
        <x:v>晚市</x:v>
      </x:c>
      <x:c r="F205" s="91" t="str">
        <x:v>工作日周三</x:v>
      </x:c>
      <x:c r="G205" s="91" t="str">
        <x:v>高温</x:v>
      </x:c>
      <x:c r="H205" s="91" t="str">
        <x:v>无</x:v>
      </x:c>
      <x:c r="I205" s="108" t="n">
        <x:v>52</x:v>
      </x:c>
      <x:c r="J205" s="108" t="n">
        <x:v>59</x:v>
      </x:c>
      <x:c r="K205" s="108" t="n">
        <x:v>59</x:v>
      </x:c>
      <x:c r="L205" s="108" t="n">
        <x:v>57</x:v>
      </x:c>
      <x:c r="M205" s="108" t="str">
        <x:v>商圈活动临时变化</x:v>
      </x:c>
      <x:c r="N205" s="108" t="n">
        <x:v>53</x:v>
      </x:c>
      <x:c r="O205" s="108" t="n">
        <x:v>67</x:v>
      </x:c>
      <x:c r="P205" s="108" t="n">
        <x:v>2</x:v>
      </x:c>
      <x:c r="Q205" s="91" t="str">
        <x:v>否</x:v>
      </x:c>
      <x:c r="R205" s="91" t="n">
        <x:v>1</x:v>
      </x:c>
      <x:c r="S205" s="91" t="str">
        <x:v>无</x:v>
      </x:c>
      <x:c r="T205" s="91" t="str">
        <x:v>模拟正常样本</x:v>
      </x:c>
      <x:c r="U205" s="91" t="n">
        <x:f>ABS(L205-N205)</x:f>
        <x:v>4</x:v>
      </x:c>
      <x:c r="V205" s="91" t="str">
        <x:f>IF(L205=K205,"沿用建议","人工调整")</x:f>
        <x:v>人工调整</x:v>
      </x:c>
      <x:c r="W205" s="92" t="str">
        <x:f>IF(Q205="是","售罄风险",IF(P205&gt;3,"损耗风险","正常"))</x:f>
        <x:v>正常</x:v>
      </x:c>
    </x:row>
    <x:row r="206" ht="20" customHeight="1">
      <x:c r="A206" s="105" t="n">
        <x:v>46204</x:v>
      </x:c>
      <x:c r="B206" s="91" t="str">
        <x:v>模拟店 C（社区门店）</x:v>
      </x:c>
      <x:c r="C206" s="91" t="str">
        <x:v>成长期</x:v>
      </x:c>
      <x:c r="D206" s="91" t="str">
        <x:v>粉蒸排骨</x:v>
      </x:c>
      <x:c r="E206" s="91" t="str">
        <x:v>晚市</x:v>
      </x:c>
      <x:c r="F206" s="91" t="str">
        <x:v>工作日周三</x:v>
      </x:c>
      <x:c r="G206" s="91" t="str">
        <x:v>高温</x:v>
      </x:c>
      <x:c r="H206" s="91" t="str">
        <x:v>无</x:v>
      </x:c>
      <x:c r="I206" s="108" t="n">
        <x:v>34</x:v>
      </x:c>
      <x:c r="J206" s="108" t="n">
        <x:v>38</x:v>
      </x:c>
      <x:c r="K206" s="108" t="n">
        <x:v>38</x:v>
      </x:c>
      <x:c r="L206" s="108" t="n">
        <x:v>38</x:v>
      </x:c>
      <x:c r="M206" s="108" t="str">
        <x:v>沿用建议</x:v>
      </x:c>
      <x:c r="N206" s="108" t="n">
        <x:v>34</x:v>
      </x:c>
      <x:c r="O206" s="108" t="n">
        <x:v>48</x:v>
      </x:c>
      <x:c r="P206" s="108" t="n">
        <x:v>2</x:v>
      </x:c>
      <x:c r="Q206" s="91" t="str">
        <x:v>否</x:v>
      </x:c>
      <x:c r="R206" s="91" t="n">
        <x:v>1</x:v>
      </x:c>
      <x:c r="S206" s="91" t="str">
        <x:v>无</x:v>
      </x:c>
      <x:c r="T206" s="91" t="str">
        <x:v>模拟正常样本</x:v>
      </x:c>
      <x:c r="U206" s="91" t="n">
        <x:f>ABS(L206-N206)</x:f>
        <x:v>4</x:v>
      </x:c>
      <x:c r="V206" s="91" t="str">
        <x:f>IF(L206=K206,"沿用建议","人工调整")</x:f>
        <x:v>沿用建议</x:v>
      </x:c>
      <x:c r="W206" s="92" t="str">
        <x:f>IF(Q206="是","售罄风险",IF(P206&gt;3,"损耗风险","正常"))</x:f>
        <x:v>正常</x:v>
      </x:c>
    </x:row>
    <x:row r="207" ht="20" customHeight="1">
      <x:c r="A207" s="105" t="n">
        <x:v>46204</x:v>
      </x:c>
      <x:c r="B207" s="91" t="str">
        <x:v>模拟店 C（社区门店）</x:v>
      </x:c>
      <x:c r="C207" s="91" t="str">
        <x:v>成长期</x:v>
      </x:c>
      <x:c r="D207" s="91" t="str">
        <x:v>桂花糖藕</x:v>
      </x:c>
      <x:c r="E207" s="91" t="str">
        <x:v>晚市</x:v>
      </x:c>
      <x:c r="F207" s="91" t="str">
        <x:v>工作日周三</x:v>
      </x:c>
      <x:c r="G207" s="91" t="str">
        <x:v>高温</x:v>
      </x:c>
      <x:c r="H207" s="91" t="str">
        <x:v>无</x:v>
      </x:c>
      <x:c r="I207" s="108" t="n">
        <x:v>23</x:v>
      </x:c>
      <x:c r="J207" s="108" t="n">
        <x:v>27</x:v>
      </x:c>
      <x:c r="K207" s="108" t="n">
        <x:v>27</x:v>
      </x:c>
      <x:c r="L207" s="108" t="n">
        <x:v>27</x:v>
      </x:c>
      <x:c r="M207" s="108" t="str">
        <x:v>沿用建议</x:v>
      </x:c>
      <x:c r="N207" s="108" t="n">
        <x:v>22</x:v>
      </x:c>
      <x:c r="O207" s="108" t="n">
        <x:v>39</x:v>
      </x:c>
      <x:c r="P207" s="108" t="n">
        <x:v>4</x:v>
      </x:c>
      <x:c r="Q207" s="91" t="str">
        <x:v>否</x:v>
      </x:c>
      <x:c r="R207" s="91" t="n">
        <x:v>2</x:v>
      </x:c>
      <x:c r="S207" s="91" t="str">
        <x:v>无</x:v>
      </x:c>
      <x:c r="T207" s="91" t="str">
        <x:v>模拟正常样本</x:v>
      </x:c>
      <x:c r="U207" s="91" t="n">
        <x:f>ABS(L207-N207)</x:f>
        <x:v>5</x:v>
      </x:c>
      <x:c r="V207" s="91" t="str">
        <x:f>IF(L207=K207,"沿用建议","人工调整")</x:f>
        <x:v>沿用建议</x:v>
      </x:c>
      <x:c r="W207" s="92" t="str">
        <x:f>IF(Q207="是","售罄风险",IF(P207&gt;3,"损耗风险","正常"))</x:f>
        <x:v>损耗风险</x:v>
      </x:c>
    </x:row>
    <x:row r="208" ht="20" customHeight="1">
      <x:c r="A208" s="105" t="n">
        <x:v>46204</x:v>
      </x:c>
      <x:c r="B208" s="91" t="str">
        <x:v>模拟店 C（社区门店）</x:v>
      </x:c>
      <x:c r="C208" s="91" t="str">
        <x:v>成长期</x:v>
      </x:c>
      <x:c r="D208" s="91" t="str">
        <x:v>藕夹</x:v>
      </x:c>
      <x:c r="E208" s="91" t="str">
        <x:v>晚市</x:v>
      </x:c>
      <x:c r="F208" s="91" t="str">
        <x:v>工作日周三</x:v>
      </x:c>
      <x:c r="G208" s="91" t="str">
        <x:v>高温</x:v>
      </x:c>
      <x:c r="H208" s="91" t="str">
        <x:v>无</x:v>
      </x:c>
      <x:c r="I208" s="108" t="n">
        <x:v>30</x:v>
      </x:c>
      <x:c r="J208" s="108" t="n">
        <x:v>34</x:v>
      </x:c>
      <x:c r="K208" s="108" t="n">
        <x:v>34</x:v>
      </x:c>
      <x:c r="L208" s="108" t="n">
        <x:v>34</x:v>
      </x:c>
      <x:c r="M208" s="108" t="str">
        <x:v>沿用建议</x:v>
      </x:c>
      <x:c r="N208" s="108" t="n">
        <x:v>33</x:v>
      </x:c>
      <x:c r="O208" s="108" t="n">
        <x:v>49</x:v>
      </x:c>
      <x:c r="P208" s="108" t="n">
        <x:v>0</x:v>
      </x:c>
      <x:c r="Q208" s="91" t="str">
        <x:v>否</x:v>
      </x:c>
      <x:c r="R208" s="91" t="n">
        <x:v>2</x:v>
      </x:c>
      <x:c r="S208" s="91" t="str">
        <x:v>无</x:v>
      </x:c>
      <x:c r="T208" s="91" t="str">
        <x:v>模拟正常样本</x:v>
      </x:c>
      <x:c r="U208" s="91" t="n">
        <x:f>ABS(L208-N208)</x:f>
        <x:v>1</x:v>
      </x:c>
      <x:c r="V208" s="91" t="str">
        <x:f>IF(L208=K208,"沿用建议","人工调整")</x:f>
        <x:v>沿用建议</x:v>
      </x:c>
      <x:c r="W208" s="92" t="str">
        <x:f>IF(Q208="是","售罄风险",IF(P208&gt;3,"损耗风险","正常"))</x:f>
        <x:v>正常</x:v>
      </x:c>
    </x:row>
    <x:row r="209" ht="20" customHeight="1">
      <x:c r="A209" s="105" t="n">
        <x:v>46205</x:v>
      </x:c>
      <x:c r="B209" s="91" t="str">
        <x:v>模拟店 A（成熟商圈）</x:v>
      </x:c>
      <x:c r="C209" s="91" t="str">
        <x:v>成熟店</x:v>
      </x:c>
      <x:c r="D209" s="91" t="str">
        <x:v>筒骨煨藕汤</x:v>
      </x:c>
      <x:c r="E209" s="91" t="str">
        <x:v>晚市</x:v>
      </x:c>
      <x:c r="F209" s="91" t="str">
        <x:v>工作日周四</x:v>
      </x:c>
      <x:c r="G209" s="91" t="str">
        <x:v>常温</x:v>
      </x:c>
      <x:c r="H209" s="91" t="str">
        <x:v>无</x:v>
      </x:c>
      <x:c r="I209" s="108" t="n">
        <x:v>71</x:v>
      </x:c>
      <x:c r="J209" s="108" t="n">
        <x:v>79</x:v>
      </x:c>
      <x:c r="K209" s="108" t="n">
        <x:v>79</x:v>
      </x:c>
      <x:c r="L209" s="108" t="n">
        <x:v>79</x:v>
      </x:c>
      <x:c r="M209" s="108" t="str">
        <x:v>沿用建议</x:v>
      </x:c>
      <x:c r="N209" s="108" t="n">
        <x:v>76</x:v>
      </x:c>
      <x:c r="O209" s="108" t="n">
        <x:v>90</x:v>
      </x:c>
      <x:c r="P209" s="108" t="n">
        <x:v>1</x:v>
      </x:c>
      <x:c r="Q209" s="91" t="str">
        <x:v>否</x:v>
      </x:c>
      <x:c r="R209" s="91" t="n">
        <x:v>3</x:v>
      </x:c>
      <x:c r="S209" s="91" t="str">
        <x:v>无</x:v>
      </x:c>
      <x:c r="T209" s="91" t="str">
        <x:v>模拟正常样本</x:v>
      </x:c>
      <x:c r="U209" s="91" t="n">
        <x:f>ABS(L209-N209)</x:f>
        <x:v>3</x:v>
      </x:c>
      <x:c r="V209" s="91" t="str">
        <x:f>IF(L209=K209,"沿用建议","人工调整")</x:f>
        <x:v>沿用建议</x:v>
      </x:c>
      <x:c r="W209" s="92" t="str">
        <x:f>IF(Q209="是","售罄风险",IF(P209&gt;3,"损耗风险","正常"))</x:f>
        <x:v>正常</x:v>
      </x:c>
    </x:row>
    <x:row r="210" ht="20" customHeight="1">
      <x:c r="A210" s="105" t="n">
        <x:v>46205</x:v>
      </x:c>
      <x:c r="B210" s="91" t="str">
        <x:v>模拟店 A（成熟商圈）</x:v>
      </x:c>
      <x:c r="C210" s="91" t="str">
        <x:v>成熟店</x:v>
      </x:c>
      <x:c r="D210" s="91" t="str">
        <x:v>粉蒸排骨</x:v>
      </x:c>
      <x:c r="E210" s="91" t="str">
        <x:v>晚市</x:v>
      </x:c>
      <x:c r="F210" s="91" t="str">
        <x:v>工作日周四</x:v>
      </x:c>
      <x:c r="G210" s="91" t="str">
        <x:v>常温</x:v>
      </x:c>
      <x:c r="H210" s="91" t="str">
        <x:v>无</x:v>
      </x:c>
      <x:c r="I210" s="108" t="n">
        <x:v>42</x:v>
      </x:c>
      <x:c r="J210" s="108" t="n">
        <x:v>46</x:v>
      </x:c>
      <x:c r="K210" s="108" t="n">
        <x:v>46</x:v>
      </x:c>
      <x:c r="L210" s="108" t="n">
        <x:v>49</x:v>
      </x:c>
      <x:c r="M210" s="108" t="str">
        <x:v>当班经验判断</x:v>
      </x:c>
      <x:c r="N210" s="108" t="n">
        <x:v>42</x:v>
      </x:c>
      <x:c r="O210" s="108" t="n">
        <x:v>59</x:v>
      </x:c>
      <x:c r="P210" s="108" t="n">
        <x:v>5</x:v>
      </x:c>
      <x:c r="Q210" s="91" t="str">
        <x:v>否</x:v>
      </x:c>
      <x:c r="R210" s="91" t="n">
        <x:v>1</x:v>
      </x:c>
      <x:c r="S210" s="91" t="str">
        <x:v>待复核</x:v>
      </x:c>
      <x:c r="T210" s="91" t="str">
        <x:v>关联异常处置日志</x:v>
      </x:c>
      <x:c r="U210" s="91" t="n">
        <x:f>ABS(L210-N210)</x:f>
        <x:v>7</x:v>
      </x:c>
      <x:c r="V210" s="91" t="str">
        <x:f>IF(L210=K210,"沿用建议","人工调整")</x:f>
        <x:v>人工调整</x:v>
      </x:c>
      <x:c r="W210" s="92" t="str">
        <x:f>IF(Q210="是","售罄风险",IF(P210&gt;3,"损耗风险","正常"))</x:f>
        <x:v>损耗风险</x:v>
      </x:c>
    </x:row>
    <x:row r="211" ht="20" customHeight="1">
      <x:c r="A211" s="105" t="n">
        <x:v>46205</x:v>
      </x:c>
      <x:c r="B211" s="91" t="str">
        <x:v>模拟店 A（成熟商圈）</x:v>
      </x:c>
      <x:c r="C211" s="91" t="str">
        <x:v>成熟店</x:v>
      </x:c>
      <x:c r="D211" s="91" t="str">
        <x:v>桂花糖藕</x:v>
      </x:c>
      <x:c r="E211" s="91" t="str">
        <x:v>晚市</x:v>
      </x:c>
      <x:c r="F211" s="91" t="str">
        <x:v>工作日周四</x:v>
      </x:c>
      <x:c r="G211" s="91" t="str">
        <x:v>常温</x:v>
      </x:c>
      <x:c r="H211" s="91" t="str">
        <x:v>无</x:v>
      </x:c>
      <x:c r="I211" s="108" t="n">
        <x:v>29</x:v>
      </x:c>
      <x:c r="J211" s="108" t="n">
        <x:v>33</x:v>
      </x:c>
      <x:c r="K211" s="108" t="n">
        <x:v>33</x:v>
      </x:c>
      <x:c r="L211" s="108" t="n">
        <x:v>33</x:v>
      </x:c>
      <x:c r="M211" s="108" t="str">
        <x:v>沿用建议</x:v>
      </x:c>
      <x:c r="N211" s="108" t="n">
        <x:v>32</x:v>
      </x:c>
      <x:c r="O211" s="108" t="n">
        <x:v>48</x:v>
      </x:c>
      <x:c r="P211" s="108" t="n">
        <x:v>0</x:v>
      </x:c>
      <x:c r="Q211" s="91" t="str">
        <x:v>否</x:v>
      </x:c>
      <x:c r="R211" s="91" t="n">
        <x:v>1</x:v>
      </x:c>
      <x:c r="S211" s="91" t="str">
        <x:v>无</x:v>
      </x:c>
      <x:c r="T211" s="91" t="str">
        <x:v>模拟正常样本</x:v>
      </x:c>
      <x:c r="U211" s="91" t="n">
        <x:f>ABS(L211-N211)</x:f>
        <x:v>1</x:v>
      </x:c>
      <x:c r="V211" s="91" t="str">
        <x:f>IF(L211=K211,"沿用建议","人工调整")</x:f>
        <x:v>沿用建议</x:v>
      </x:c>
      <x:c r="W211" s="92" t="str">
        <x:f>IF(Q211="是","售罄风险",IF(P211&gt;3,"损耗风险","正常"))</x:f>
        <x:v>正常</x:v>
      </x:c>
    </x:row>
    <x:row r="212" ht="20" customHeight="1">
      <x:c r="A212" s="105" t="n">
        <x:v>46205</x:v>
      </x:c>
      <x:c r="B212" s="91" t="str">
        <x:v>模拟店 A（成熟商圈）</x:v>
      </x:c>
      <x:c r="C212" s="91" t="str">
        <x:v>成熟店</x:v>
      </x:c>
      <x:c r="D212" s="91" t="str">
        <x:v>藕夹</x:v>
      </x:c>
      <x:c r="E212" s="91" t="str">
        <x:v>晚市</x:v>
      </x:c>
      <x:c r="F212" s="91" t="str">
        <x:v>工作日周四</x:v>
      </x:c>
      <x:c r="G212" s="91" t="str">
        <x:v>常温</x:v>
      </x:c>
      <x:c r="H212" s="91" t="str">
        <x:v>无</x:v>
      </x:c>
      <x:c r="I212" s="108" t="n">
        <x:v>34</x:v>
      </x:c>
      <x:c r="J212" s="108" t="n">
        <x:v>38</x:v>
      </x:c>
      <x:c r="K212" s="108" t="n">
        <x:v>38</x:v>
      </x:c>
      <x:c r="L212" s="108" t="n">
        <x:v>38</x:v>
      </x:c>
      <x:c r="M212" s="108" t="str">
        <x:v>沿用建议</x:v>
      </x:c>
      <x:c r="N212" s="108" t="n">
        <x:v>33</x:v>
      </x:c>
      <x:c r="O212" s="108" t="n">
        <x:v>50</x:v>
      </x:c>
      <x:c r="P212" s="108" t="n">
        <x:v>3</x:v>
      </x:c>
      <x:c r="Q212" s="91" t="str">
        <x:v>否</x:v>
      </x:c>
      <x:c r="R212" s="91" t="n">
        <x:v>1</x:v>
      </x:c>
      <x:c r="S212" s="91" t="str">
        <x:v>无</x:v>
      </x:c>
      <x:c r="T212" s="91" t="str">
        <x:v>模拟正常样本</x:v>
      </x:c>
      <x:c r="U212" s="91" t="n">
        <x:f>ABS(L212-N212)</x:f>
        <x:v>5</x:v>
      </x:c>
      <x:c r="V212" s="91" t="str">
        <x:f>IF(L212=K212,"沿用建议","人工调整")</x:f>
        <x:v>沿用建议</x:v>
      </x:c>
      <x:c r="W212" s="92" t="str">
        <x:f>IF(Q212="是","售罄风险",IF(P212&gt;3,"损耗风险","正常"))</x:f>
        <x:v>正常</x:v>
      </x:c>
    </x:row>
    <x:row r="213" ht="20" customHeight="1">
      <x:c r="A213" s="105" t="n">
        <x:v>46205</x:v>
      </x:c>
      <x:c r="B213" s="91" t="str">
        <x:v>模拟店 B（新开门店）</x:v>
      </x:c>
      <x:c r="C213" s="91" t="str">
        <x:v>新店</x:v>
      </x:c>
      <x:c r="D213" s="91" t="str">
        <x:v>筒骨煨藕汤</x:v>
      </x:c>
      <x:c r="E213" s="91" t="str">
        <x:v>晚市</x:v>
      </x:c>
      <x:c r="F213" s="91" t="str">
        <x:v>工作日周四</x:v>
      </x:c>
      <x:c r="G213" s="91" t="str">
        <x:v>高温</x:v>
      </x:c>
      <x:c r="H213" s="91" t="str">
        <x:v>无</x:v>
      </x:c>
      <x:c r="I213" s="108" t="n">
        <x:v>50</x:v>
      </x:c>
      <x:c r="J213" s="108" t="n">
        <x:v>57</x:v>
      </x:c>
      <x:c r="K213" s="108" t="n">
        <x:v>57</x:v>
      </x:c>
      <x:c r="L213" s="108" t="n">
        <x:v>57</x:v>
      </x:c>
      <x:c r="M213" s="108" t="str">
        <x:v>沿用建议</x:v>
      </x:c>
      <x:c r="N213" s="108" t="n">
        <x:v>52</x:v>
      </x:c>
      <x:c r="O213" s="108" t="n">
        <x:v>71</x:v>
      </x:c>
      <x:c r="P213" s="108" t="n">
        <x:v>3</x:v>
      </x:c>
      <x:c r="Q213" s="91" t="str">
        <x:v>否</x:v>
      </x:c>
      <x:c r="R213" s="91" t="n">
        <x:v>2</x:v>
      </x:c>
      <x:c r="S213" s="91" t="str">
        <x:v>无</x:v>
      </x:c>
      <x:c r="T213" s="91" t="str">
        <x:v>模拟正常样本</x:v>
      </x:c>
      <x:c r="U213" s="91" t="n">
        <x:f>ABS(L213-N213)</x:f>
        <x:v>5</x:v>
      </x:c>
      <x:c r="V213" s="91" t="str">
        <x:f>IF(L213=K213,"沿用建议","人工调整")</x:f>
        <x:v>沿用建议</x:v>
      </x:c>
      <x:c r="W213" s="92" t="str">
        <x:f>IF(Q213="是","售罄风险",IF(P213&gt;3,"损耗风险","正常"))</x:f>
        <x:v>正常</x:v>
      </x:c>
    </x:row>
    <x:row r="214" ht="20" customHeight="1">
      <x:c r="A214" s="105" t="n">
        <x:v>46205</x:v>
      </x:c>
      <x:c r="B214" s="91" t="str">
        <x:v>模拟店 B（新开门店）</x:v>
      </x:c>
      <x:c r="C214" s="91" t="str">
        <x:v>新店</x:v>
      </x:c>
      <x:c r="D214" s="91" t="str">
        <x:v>粉蒸排骨</x:v>
      </x:c>
      <x:c r="E214" s="91" t="str">
        <x:v>晚市</x:v>
      </x:c>
      <x:c r="F214" s="91" t="str">
        <x:v>工作日周四</x:v>
      </x:c>
      <x:c r="G214" s="91" t="str">
        <x:v>高温</x:v>
      </x:c>
      <x:c r="H214" s="91" t="str">
        <x:v>无</x:v>
      </x:c>
      <x:c r="I214" s="108" t="n">
        <x:v>31</x:v>
      </x:c>
      <x:c r="J214" s="108" t="n">
        <x:v>35</x:v>
      </x:c>
      <x:c r="K214" s="108" t="n">
        <x:v>35</x:v>
      </x:c>
      <x:c r="L214" s="108" t="n">
        <x:v>35</x:v>
      </x:c>
      <x:c r="M214" s="108" t="str">
        <x:v>沿用建议</x:v>
      </x:c>
      <x:c r="N214" s="108" t="n">
        <x:v>33</x:v>
      </x:c>
      <x:c r="O214" s="108" t="n">
        <x:v>45</x:v>
      </x:c>
      <x:c r="P214" s="108" t="n">
        <x:v>0</x:v>
      </x:c>
      <x:c r="Q214" s="91" t="str">
        <x:v>否</x:v>
      </x:c>
      <x:c r="R214" s="91" t="n">
        <x:v>1</x:v>
      </x:c>
      <x:c r="S214" s="91" t="str">
        <x:v>无</x:v>
      </x:c>
      <x:c r="T214" s="91" t="str">
        <x:v>模拟正常样本</x:v>
      </x:c>
      <x:c r="U214" s="91" t="n">
        <x:f>ABS(L214-N214)</x:f>
        <x:v>2</x:v>
      </x:c>
      <x:c r="V214" s="91" t="str">
        <x:f>IF(L214=K214,"沿用建议","人工调整")</x:f>
        <x:v>沿用建议</x:v>
      </x:c>
      <x:c r="W214" s="92" t="str">
        <x:f>IF(Q214="是","售罄风险",IF(P214&gt;3,"损耗风险","正常"))</x:f>
        <x:v>正常</x:v>
      </x:c>
    </x:row>
    <x:row r="215" ht="20" customHeight="1">
      <x:c r="A215" s="105" t="n">
        <x:v>46205</x:v>
      </x:c>
      <x:c r="B215" s="91" t="str">
        <x:v>模拟店 B（新开门店）</x:v>
      </x:c>
      <x:c r="C215" s="91" t="str">
        <x:v>新店</x:v>
      </x:c>
      <x:c r="D215" s="91" t="str">
        <x:v>桂花糖藕</x:v>
      </x:c>
      <x:c r="E215" s="91" t="str">
        <x:v>晚市</x:v>
      </x:c>
      <x:c r="F215" s="91" t="str">
        <x:v>工作日周四</x:v>
      </x:c>
      <x:c r="G215" s="91" t="str">
        <x:v>高温</x:v>
      </x:c>
      <x:c r="H215" s="91" t="str">
        <x:v>无</x:v>
      </x:c>
      <x:c r="I215" s="108" t="n">
        <x:v>22</x:v>
      </x:c>
      <x:c r="J215" s="108" t="n">
        <x:v>26</x:v>
      </x:c>
      <x:c r="K215" s="108" t="n">
        <x:v>26</x:v>
      </x:c>
      <x:c r="L215" s="108" t="n">
        <x:v>26</x:v>
      </x:c>
      <x:c r="M215" s="108" t="str">
        <x:v>沿用建议</x:v>
      </x:c>
      <x:c r="N215" s="108" t="n">
        <x:v>21</x:v>
      </x:c>
      <x:c r="O215" s="108" t="n">
        <x:v>36</x:v>
      </x:c>
      <x:c r="P215" s="108" t="n">
        <x:v>4</x:v>
      </x:c>
      <x:c r="Q215" s="91" t="str">
        <x:v>否</x:v>
      </x:c>
      <x:c r="R215" s="91" t="n">
        <x:v>2</x:v>
      </x:c>
      <x:c r="S215" s="91" t="str">
        <x:v>无</x:v>
      </x:c>
      <x:c r="T215" s="91" t="str">
        <x:v>模拟正常样本</x:v>
      </x:c>
      <x:c r="U215" s="91" t="n">
        <x:f>ABS(L215-N215)</x:f>
        <x:v>5</x:v>
      </x:c>
      <x:c r="V215" s="91" t="str">
        <x:f>IF(L215=K215,"沿用建议","人工调整")</x:f>
        <x:v>沿用建议</x:v>
      </x:c>
      <x:c r="W215" s="92" t="str">
        <x:f>IF(Q215="是","售罄风险",IF(P215&gt;3,"损耗风险","正常"))</x:f>
        <x:v>损耗风险</x:v>
      </x:c>
    </x:row>
    <x:row r="216" ht="20" customHeight="1">
      <x:c r="A216" s="105" t="n">
        <x:v>46205</x:v>
      </x:c>
      <x:c r="B216" s="91" t="str">
        <x:v>模拟店 B（新开门店）</x:v>
      </x:c>
      <x:c r="C216" s="91" t="str">
        <x:v>新店</x:v>
      </x:c>
      <x:c r="D216" s="91" t="str">
        <x:v>藕夹</x:v>
      </x:c>
      <x:c r="E216" s="91" t="str">
        <x:v>晚市</x:v>
      </x:c>
      <x:c r="F216" s="91" t="str">
        <x:v>工作日周四</x:v>
      </x:c>
      <x:c r="G216" s="91" t="str">
        <x:v>高温</x:v>
      </x:c>
      <x:c r="H216" s="91" t="str">
        <x:v>无</x:v>
      </x:c>
      <x:c r="I216" s="108" t="n">
        <x:v>26</x:v>
      </x:c>
      <x:c r="J216" s="108" t="n">
        <x:v>30</x:v>
      </x:c>
      <x:c r="K216" s="108" t="n">
        <x:v>30</x:v>
      </x:c>
      <x:c r="L216" s="108" t="n">
        <x:v>30</x:v>
      </x:c>
      <x:c r="M216" s="108" t="str">
        <x:v>沿用建议</x:v>
      </x:c>
      <x:c r="N216" s="108" t="n">
        <x:v>26</x:v>
      </x:c>
      <x:c r="O216" s="108" t="n">
        <x:v>40</x:v>
      </x:c>
      <x:c r="P216" s="108" t="n">
        <x:v>2</x:v>
      </x:c>
      <x:c r="Q216" s="91" t="str">
        <x:v>否</x:v>
      </x:c>
      <x:c r="R216" s="91" t="n">
        <x:v>1</x:v>
      </x:c>
      <x:c r="S216" s="91" t="str">
        <x:v>无</x:v>
      </x:c>
      <x:c r="T216" s="91" t="str">
        <x:v>模拟正常样本</x:v>
      </x:c>
      <x:c r="U216" s="91" t="n">
        <x:f>ABS(L216-N216)</x:f>
        <x:v>4</x:v>
      </x:c>
      <x:c r="V216" s="91" t="str">
        <x:f>IF(L216=K216,"沿用建议","人工调整")</x:f>
        <x:v>沿用建议</x:v>
      </x:c>
      <x:c r="W216" s="92" t="str">
        <x:f>IF(Q216="是","售罄风险",IF(P216&gt;3,"损耗风险","正常"))</x:f>
        <x:v>正常</x:v>
      </x:c>
    </x:row>
    <x:row r="217" ht="20" customHeight="1">
      <x:c r="A217" s="105" t="n">
        <x:v>46205</x:v>
      </x:c>
      <x:c r="B217" s="91" t="str">
        <x:v>模拟店 C（社区门店）</x:v>
      </x:c>
      <x:c r="C217" s="91" t="str">
        <x:v>成长期</x:v>
      </x:c>
      <x:c r="D217" s="91" t="str">
        <x:v>筒骨煨藕汤</x:v>
      </x:c>
      <x:c r="E217" s="91" t="str">
        <x:v>晚市</x:v>
      </x:c>
      <x:c r="F217" s="91" t="str">
        <x:v>工作日周四</x:v>
      </x:c>
      <x:c r="G217" s="91" t="str">
        <x:v>常温</x:v>
      </x:c>
      <x:c r="H217" s="91" t="str">
        <x:v>无</x:v>
      </x:c>
      <x:c r="I217" s="108" t="n">
        <x:v>60</x:v>
      </x:c>
      <x:c r="J217" s="108" t="n">
        <x:v>67</x:v>
      </x:c>
      <x:c r="K217" s="108" t="n">
        <x:v>67</x:v>
      </x:c>
      <x:c r="L217" s="108" t="n">
        <x:v>67</x:v>
      </x:c>
      <x:c r="M217" s="108" t="str">
        <x:v>沿用建议</x:v>
      </x:c>
      <x:c r="N217" s="108" t="n">
        <x:v>62</x:v>
      </x:c>
      <x:c r="O217" s="108" t="n">
        <x:v>76</x:v>
      </x:c>
      <x:c r="P217" s="108" t="n">
        <x:v>3</x:v>
      </x:c>
      <x:c r="Q217" s="91" t="str">
        <x:v>否</x:v>
      </x:c>
      <x:c r="R217" s="91" t="n">
        <x:v>1</x:v>
      </x:c>
      <x:c r="S217" s="91" t="str">
        <x:v>待复核</x:v>
      </x:c>
      <x:c r="T217" s="91" t="str">
        <x:v>关联异常处置日志</x:v>
      </x:c>
      <x:c r="U217" s="91" t="n">
        <x:f>ABS(L217-N217)</x:f>
        <x:v>5</x:v>
      </x:c>
      <x:c r="V217" s="91" t="str">
        <x:f>IF(L217=K217,"沿用建议","人工调整")</x:f>
        <x:v>沿用建议</x:v>
      </x:c>
      <x:c r="W217" s="92" t="str">
        <x:f>IF(Q217="是","售罄风险",IF(P217&gt;3,"损耗风险","正常"))</x:f>
        <x:v>正常</x:v>
      </x:c>
    </x:row>
    <x:row r="218" ht="20" customHeight="1">
      <x:c r="A218" s="105" t="n">
        <x:v>46205</x:v>
      </x:c>
      <x:c r="B218" s="91" t="str">
        <x:v>模拟店 C（社区门店）</x:v>
      </x:c>
      <x:c r="C218" s="91" t="str">
        <x:v>成长期</x:v>
      </x:c>
      <x:c r="D218" s="91" t="str">
        <x:v>粉蒸排骨</x:v>
      </x:c>
      <x:c r="E218" s="91" t="str">
        <x:v>晚市</x:v>
      </x:c>
      <x:c r="F218" s="91" t="str">
        <x:v>工作日周四</x:v>
      </x:c>
      <x:c r="G218" s="91" t="str">
        <x:v>常温</x:v>
      </x:c>
      <x:c r="H218" s="91" t="str">
        <x:v>无</x:v>
      </x:c>
      <x:c r="I218" s="108" t="n">
        <x:v>35</x:v>
      </x:c>
      <x:c r="J218" s="108" t="n">
        <x:v>39</x:v>
      </x:c>
      <x:c r="K218" s="108" t="n">
        <x:v>39</x:v>
      </x:c>
      <x:c r="L218" s="108" t="n">
        <x:v>39</x:v>
      </x:c>
      <x:c r="M218" s="108" t="str">
        <x:v>沿用建议</x:v>
      </x:c>
      <x:c r="N218" s="108" t="n">
        <x:v>34</x:v>
      </x:c>
      <x:c r="O218" s="108" t="n">
        <x:v>54</x:v>
      </x:c>
      <x:c r="P218" s="108" t="n">
        <x:v>3</x:v>
      </x:c>
      <x:c r="Q218" s="91" t="str">
        <x:v>否</x:v>
      </x:c>
      <x:c r="R218" s="91" t="n">
        <x:v>3</x:v>
      </x:c>
      <x:c r="S218" s="91" t="str">
        <x:v>无</x:v>
      </x:c>
      <x:c r="T218" s="91" t="str">
        <x:v>模拟正常样本</x:v>
      </x:c>
      <x:c r="U218" s="91" t="n">
        <x:f>ABS(L218-N218)</x:f>
        <x:v>5</x:v>
      </x:c>
      <x:c r="V218" s="91" t="str">
        <x:f>IF(L218=K218,"沿用建议","人工调整")</x:f>
        <x:v>沿用建议</x:v>
      </x:c>
      <x:c r="W218" s="92" t="str">
        <x:f>IF(Q218="是","售罄风险",IF(P218&gt;3,"损耗风险","正常"))</x:f>
        <x:v>正常</x:v>
      </x:c>
    </x:row>
    <x:row r="219" ht="20" customHeight="1">
      <x:c r="A219" s="105" t="n">
        <x:v>46205</x:v>
      </x:c>
      <x:c r="B219" s="91" t="str">
        <x:v>模拟店 C（社区门店）</x:v>
      </x:c>
      <x:c r="C219" s="91" t="str">
        <x:v>成长期</x:v>
      </x:c>
      <x:c r="D219" s="91" t="str">
        <x:v>桂花糖藕</x:v>
      </x:c>
      <x:c r="E219" s="91" t="str">
        <x:v>晚市</x:v>
      </x:c>
      <x:c r="F219" s="91" t="str">
        <x:v>工作日周四</x:v>
      </x:c>
      <x:c r="G219" s="91" t="str">
        <x:v>常温</x:v>
      </x:c>
      <x:c r="H219" s="91" t="str">
        <x:v>无</x:v>
      </x:c>
      <x:c r="I219" s="108" t="n">
        <x:v>25</x:v>
      </x:c>
      <x:c r="J219" s="108" t="n">
        <x:v>29</x:v>
      </x:c>
      <x:c r="K219" s="108" t="n">
        <x:v>29</x:v>
      </x:c>
      <x:c r="L219" s="108" t="n">
        <x:v>32</x:v>
      </x:c>
      <x:c r="M219" s="108" t="str">
        <x:v>当班经验判断</x:v>
      </x:c>
      <x:c r="N219" s="108" t="n">
        <x:v>24</x:v>
      </x:c>
      <x:c r="O219" s="108" t="n">
        <x:v>40</x:v>
      </x:c>
      <x:c r="P219" s="108" t="n">
        <x:v>7</x:v>
      </x:c>
      <x:c r="Q219" s="91" t="str">
        <x:v>否</x:v>
      </x:c>
      <x:c r="R219" s="91" t="n">
        <x:v>0</x:v>
      </x:c>
      <x:c r="S219" s="91" t="str">
        <x:v>无</x:v>
      </x:c>
      <x:c r="T219" s="91" t="str">
        <x:v>模拟正常样本</x:v>
      </x:c>
      <x:c r="U219" s="91" t="n">
        <x:f>ABS(L219-N219)</x:f>
        <x:v>8</x:v>
      </x:c>
      <x:c r="V219" s="91" t="str">
        <x:f>IF(L219=K219,"沿用建议","人工调整")</x:f>
        <x:v>人工调整</x:v>
      </x:c>
      <x:c r="W219" s="92" t="str">
        <x:f>IF(Q219="是","售罄风险",IF(P219&gt;3,"损耗风险","正常"))</x:f>
        <x:v>损耗风险</x:v>
      </x:c>
    </x:row>
    <x:row r="220" ht="20" customHeight="1">
      <x:c r="A220" s="105" t="n">
        <x:v>46205</x:v>
      </x:c>
      <x:c r="B220" s="91" t="str">
        <x:v>模拟店 C（社区门店）</x:v>
      </x:c>
      <x:c r="C220" s="91" t="str">
        <x:v>成长期</x:v>
      </x:c>
      <x:c r="D220" s="91" t="str">
        <x:v>藕夹</x:v>
      </x:c>
      <x:c r="E220" s="91" t="str">
        <x:v>晚市</x:v>
      </x:c>
      <x:c r="F220" s="91" t="str">
        <x:v>工作日周四</x:v>
      </x:c>
      <x:c r="G220" s="91" t="str">
        <x:v>常温</x:v>
      </x:c>
      <x:c r="H220" s="91" t="str">
        <x:v>无</x:v>
      </x:c>
      <x:c r="I220" s="108" t="n">
        <x:v>29</x:v>
      </x:c>
      <x:c r="J220" s="108" t="n">
        <x:v>33</x:v>
      </x:c>
      <x:c r="K220" s="108" t="n">
        <x:v>33</x:v>
      </x:c>
      <x:c r="L220" s="108" t="n">
        <x:v>33</x:v>
      </x:c>
      <x:c r="M220" s="108" t="str">
        <x:v>沿用建议</x:v>
      </x:c>
      <x:c r="N220" s="108" t="n">
        <x:v>31</x:v>
      </x:c>
      <x:c r="O220" s="108" t="n">
        <x:v>42</x:v>
      </x:c>
      <x:c r="P220" s="108" t="n">
        <x:v>0</x:v>
      </x:c>
      <x:c r="Q220" s="91" t="str">
        <x:v>否</x:v>
      </x:c>
      <x:c r="R220" s="91" t="n">
        <x:v>2</x:v>
      </x:c>
      <x:c r="S220" s="91" t="str">
        <x:v>无</x:v>
      </x:c>
      <x:c r="T220" s="91" t="str">
        <x:v>模拟正常样本</x:v>
      </x:c>
      <x:c r="U220" s="91" t="n">
        <x:f>ABS(L220-N220)</x:f>
        <x:v>2</x:v>
      </x:c>
      <x:c r="V220" s="91" t="str">
        <x:f>IF(L220=K220,"沿用建议","人工调整")</x:f>
        <x:v>沿用建议</x:v>
      </x:c>
      <x:c r="W220" s="92" t="str">
        <x:f>IF(Q220="是","售罄风险",IF(P220&gt;3,"损耗风险","正常"))</x:f>
        <x:v>正常</x:v>
      </x:c>
    </x:row>
    <x:row r="221" ht="20" customHeight="1">
      <x:c r="A221" s="105" t="n">
        <x:v>46206</x:v>
      </x:c>
      <x:c r="B221" s="91" t="str">
        <x:v>模拟店 A（成熟商圈）</x:v>
      </x:c>
      <x:c r="C221" s="91" t="str">
        <x:v>成熟店</x:v>
      </x:c>
      <x:c r="D221" s="91" t="str">
        <x:v>筒骨煨藕汤</x:v>
      </x:c>
      <x:c r="E221" s="91" t="str">
        <x:v>晚市</x:v>
      </x:c>
      <x:c r="F221" s="91" t="str">
        <x:v>工作日周五</x:v>
      </x:c>
      <x:c r="G221" s="91" t="str">
        <x:v>高温</x:v>
      </x:c>
      <x:c r="H221" s="91" t="str">
        <x:v>团餐线索</x:v>
      </x:c>
      <x:c r="I221" s="108" t="n">
        <x:v>67</x:v>
      </x:c>
      <x:c r="J221" s="108" t="n">
        <x:v>75</x:v>
      </x:c>
      <x:c r="K221" s="108" t="n">
        <x:v>75</x:v>
      </x:c>
      <x:c r="L221" s="108" t="n">
        <x:v>73</x:v>
      </x:c>
      <x:c r="M221" s="108" t="str">
        <x:v>团餐尚未确认</x:v>
      </x:c>
      <x:c r="N221" s="108" t="n">
        <x:v>63</x:v>
      </x:c>
      <x:c r="O221" s="108" t="n">
        <x:v>87</x:v>
      </x:c>
      <x:c r="P221" s="108" t="n">
        <x:v>8</x:v>
      </x:c>
      <x:c r="Q221" s="91" t="str">
        <x:v>否</x:v>
      </x:c>
      <x:c r="R221" s="91" t="n">
        <x:v>1</x:v>
      </x:c>
      <x:c r="S221" s="91" t="str">
        <x:v>无</x:v>
      </x:c>
      <x:c r="T221" s="91" t="str">
        <x:v>模拟正常样本</x:v>
      </x:c>
      <x:c r="U221" s="91" t="n">
        <x:f>ABS(L221-N221)</x:f>
        <x:v>10</x:v>
      </x:c>
      <x:c r="V221" s="91" t="str">
        <x:f>IF(L221=K221,"沿用建议","人工调整")</x:f>
        <x:v>人工调整</x:v>
      </x:c>
      <x:c r="W221" s="92" t="str">
        <x:f>IF(Q221="是","售罄风险",IF(P221&gt;3,"损耗风险","正常"))</x:f>
        <x:v>损耗风险</x:v>
      </x:c>
    </x:row>
    <x:row r="222" ht="20" customHeight="1">
      <x:c r="A222" s="105" t="n">
        <x:v>46206</x:v>
      </x:c>
      <x:c r="B222" s="91" t="str">
        <x:v>模拟店 A（成熟商圈）</x:v>
      </x:c>
      <x:c r="C222" s="91" t="str">
        <x:v>成熟店</x:v>
      </x:c>
      <x:c r="D222" s="91" t="str">
        <x:v>粉蒸排骨</x:v>
      </x:c>
      <x:c r="E222" s="91" t="str">
        <x:v>晚市</x:v>
      </x:c>
      <x:c r="F222" s="91" t="str">
        <x:v>工作日周五</x:v>
      </x:c>
      <x:c r="G222" s="91" t="str">
        <x:v>高温</x:v>
      </x:c>
      <x:c r="H222" s="91" t="str">
        <x:v>团餐线索</x:v>
      </x:c>
      <x:c r="I222" s="108" t="n">
        <x:v>46</x:v>
      </x:c>
      <x:c r="J222" s="108" t="n">
        <x:v>50</x:v>
      </x:c>
      <x:c r="K222" s="108" t="n">
        <x:v>50</x:v>
      </x:c>
      <x:c r="L222" s="108" t="n">
        <x:v>50</x:v>
      </x:c>
      <x:c r="M222" s="108" t="str">
        <x:v>沿用建议</x:v>
      </x:c>
      <x:c r="N222" s="108" t="n">
        <x:v>43</x:v>
      </x:c>
      <x:c r="O222" s="108" t="n">
        <x:v>60</x:v>
      </x:c>
      <x:c r="P222" s="108" t="n">
        <x:v>5</x:v>
      </x:c>
      <x:c r="Q222" s="91" t="str">
        <x:v>否</x:v>
      </x:c>
      <x:c r="R222" s="91" t="n">
        <x:v>3</x:v>
      </x:c>
      <x:c r="S222" s="91" t="str">
        <x:v>无</x:v>
      </x:c>
      <x:c r="T222" s="91" t="str">
        <x:v>模拟正常样本</x:v>
      </x:c>
      <x:c r="U222" s="91" t="n">
        <x:f>ABS(L222-N222)</x:f>
        <x:v>7</x:v>
      </x:c>
      <x:c r="V222" s="91" t="str">
        <x:f>IF(L222=K222,"沿用建议","人工调整")</x:f>
        <x:v>沿用建议</x:v>
      </x:c>
      <x:c r="W222" s="92" t="str">
        <x:f>IF(Q222="是","售罄风险",IF(P222&gt;3,"损耗风险","正常"))</x:f>
        <x:v>损耗风险</x:v>
      </x:c>
    </x:row>
    <x:row r="223" ht="20" customHeight="1">
      <x:c r="A223" s="105" t="n">
        <x:v>46206</x:v>
      </x:c>
      <x:c r="B223" s="91" t="str">
        <x:v>模拟店 A（成熟商圈）</x:v>
      </x:c>
      <x:c r="C223" s="91" t="str">
        <x:v>成熟店</x:v>
      </x:c>
      <x:c r="D223" s="91" t="str">
        <x:v>桂花糖藕</x:v>
      </x:c>
      <x:c r="E223" s="91" t="str">
        <x:v>晚市</x:v>
      </x:c>
      <x:c r="F223" s="91" t="str">
        <x:v>工作日周五</x:v>
      </x:c>
      <x:c r="G223" s="91" t="str">
        <x:v>高温</x:v>
      </x:c>
      <x:c r="H223" s="91" t="str">
        <x:v>团餐线索</x:v>
      </x:c>
      <x:c r="I223" s="108" t="n">
        <x:v>30</x:v>
      </x:c>
      <x:c r="J223" s="108" t="n">
        <x:v>34</x:v>
      </x:c>
      <x:c r="K223" s="108" t="n">
        <x:v>34</x:v>
      </x:c>
      <x:c r="L223" s="108" t="n">
        <x:v>34</x:v>
      </x:c>
      <x:c r="M223" s="108" t="str">
        <x:v>沿用建议</x:v>
      </x:c>
      <x:c r="N223" s="108" t="n">
        <x:v>34</x:v>
      </x:c>
      <x:c r="O223" s="108" t="n">
        <x:v>48</x:v>
      </x:c>
      <x:c r="P223" s="108" t="n">
        <x:v>0</x:v>
      </x:c>
      <x:c r="Q223" s="91" t="str">
        <x:v>否</x:v>
      </x:c>
      <x:c r="R223" s="91" t="n">
        <x:v>3</x:v>
      </x:c>
      <x:c r="S223" s="91" t="str">
        <x:v>无</x:v>
      </x:c>
      <x:c r="T223" s="91" t="str">
        <x:v>模拟正常样本</x:v>
      </x:c>
      <x:c r="U223" s="91" t="n">
        <x:f>ABS(L223-N223)</x:f>
        <x:v>0</x:v>
      </x:c>
      <x:c r="V223" s="91" t="str">
        <x:f>IF(L223=K223,"沿用建议","人工调整")</x:f>
        <x:v>沿用建议</x:v>
      </x:c>
      <x:c r="W223" s="92" t="str">
        <x:f>IF(Q223="是","售罄风险",IF(P223&gt;3,"损耗风险","正常"))</x:f>
        <x:v>正常</x:v>
      </x:c>
    </x:row>
    <x:row r="224" ht="20" customHeight="1">
      <x:c r="A224" s="105" t="n">
        <x:v>46206</x:v>
      </x:c>
      <x:c r="B224" s="91" t="str">
        <x:v>模拟店 A（成熟商圈）</x:v>
      </x:c>
      <x:c r="C224" s="91" t="str">
        <x:v>成熟店</x:v>
      </x:c>
      <x:c r="D224" s="91" t="str">
        <x:v>藕夹</x:v>
      </x:c>
      <x:c r="E224" s="91" t="str">
        <x:v>晚市</x:v>
      </x:c>
      <x:c r="F224" s="91" t="str">
        <x:v>工作日周五</x:v>
      </x:c>
      <x:c r="G224" s="91" t="str">
        <x:v>高温</x:v>
      </x:c>
      <x:c r="H224" s="91" t="str">
        <x:v>团餐线索</x:v>
      </x:c>
      <x:c r="I224" s="108" t="n">
        <x:v>35</x:v>
      </x:c>
      <x:c r="J224" s="108" t="n">
        <x:v>39</x:v>
      </x:c>
      <x:c r="K224" s="108" t="n">
        <x:v>39</x:v>
      </x:c>
      <x:c r="L224" s="108" t="n">
        <x:v>37</x:v>
      </x:c>
      <x:c r="M224" s="108" t="str">
        <x:v>团餐尚未确认</x:v>
      </x:c>
      <x:c r="N224" s="108" t="n">
        <x:v>37</x:v>
      </x:c>
      <x:c r="O224" s="108" t="n">
        <x:v>47</x:v>
      </x:c>
      <x:c r="P224" s="108" t="n">
        <x:v>0</x:v>
      </x:c>
      <x:c r="Q224" s="91" t="str">
        <x:v>否</x:v>
      </x:c>
      <x:c r="R224" s="91" t="n">
        <x:v>2</x:v>
      </x:c>
      <x:c r="S224" s="91" t="str">
        <x:v>无</x:v>
      </x:c>
      <x:c r="T224" s="91" t="str">
        <x:v>模拟正常样本</x:v>
      </x:c>
      <x:c r="U224" s="91" t="n">
        <x:f>ABS(L224-N224)</x:f>
        <x:v>0</x:v>
      </x:c>
      <x:c r="V224" s="91" t="str">
        <x:f>IF(L224=K224,"沿用建议","人工调整")</x:f>
        <x:v>人工调整</x:v>
      </x:c>
      <x:c r="W224" s="92" t="str">
        <x:f>IF(Q224="是","售罄风险",IF(P224&gt;3,"损耗风险","正常"))</x:f>
        <x:v>正常</x:v>
      </x:c>
    </x:row>
    <x:row r="225" ht="20" customHeight="1">
      <x:c r="A225" s="105" t="n">
        <x:v>46206</x:v>
      </x:c>
      <x:c r="B225" s="91" t="str">
        <x:v>模拟店 B（新开门店）</x:v>
      </x:c>
      <x:c r="C225" s="91" t="str">
        <x:v>新店</x:v>
      </x:c>
      <x:c r="D225" s="91" t="str">
        <x:v>筒骨煨藕汤</x:v>
      </x:c>
      <x:c r="E225" s="91" t="str">
        <x:v>晚市</x:v>
      </x:c>
      <x:c r="F225" s="91" t="str">
        <x:v>工作日周五</x:v>
      </x:c>
      <x:c r="G225" s="91" t="str">
        <x:v>常温</x:v>
      </x:c>
      <x:c r="H225" s="91" t="str">
        <x:v>团餐线索</x:v>
      </x:c>
      <x:c r="I225" s="108" t="n">
        <x:v>55</x:v>
      </x:c>
      <x:c r="J225" s="108" t="n">
        <x:v>62</x:v>
      </x:c>
      <x:c r="K225" s="108" t="n">
        <x:v>62</x:v>
      </x:c>
      <x:c r="L225" s="108" t="n">
        <x:v>60</x:v>
      </x:c>
      <x:c r="M225" s="108" t="str">
        <x:v>团餐尚未确认</x:v>
      </x:c>
      <x:c r="N225" s="108" t="n">
        <x:v>51</x:v>
      </x:c>
      <x:c r="O225" s="108" t="n">
        <x:v>75</x:v>
      </x:c>
      <x:c r="P225" s="108" t="n">
        <x:v>7</x:v>
      </x:c>
      <x:c r="Q225" s="91" t="str">
        <x:v>否</x:v>
      </x:c>
      <x:c r="R225" s="91" t="n">
        <x:v>2</x:v>
      </x:c>
      <x:c r="S225" s="91" t="str">
        <x:v>待复核</x:v>
      </x:c>
      <x:c r="T225" s="91" t="str">
        <x:v>关联异常处置日志</x:v>
      </x:c>
      <x:c r="U225" s="91" t="n">
        <x:f>ABS(L225-N225)</x:f>
        <x:v>9</x:v>
      </x:c>
      <x:c r="V225" s="91" t="str">
        <x:f>IF(L225=K225,"沿用建议","人工调整")</x:f>
        <x:v>人工调整</x:v>
      </x:c>
      <x:c r="W225" s="92" t="str">
        <x:f>IF(Q225="是","售罄风险",IF(P225&gt;3,"损耗风险","正常"))</x:f>
        <x:v>损耗风险</x:v>
      </x:c>
    </x:row>
    <x:row r="226" ht="20" customHeight="1">
      <x:c r="A226" s="105" t="n">
        <x:v>46206</x:v>
      </x:c>
      <x:c r="B226" s="91" t="str">
        <x:v>模拟店 B（新开门店）</x:v>
      </x:c>
      <x:c r="C226" s="91" t="str">
        <x:v>新店</x:v>
      </x:c>
      <x:c r="D226" s="91" t="str">
        <x:v>粉蒸排骨</x:v>
      </x:c>
      <x:c r="E226" s="91" t="str">
        <x:v>晚市</x:v>
      </x:c>
      <x:c r="F226" s="91" t="str">
        <x:v>工作日周五</x:v>
      </x:c>
      <x:c r="G226" s="91" t="str">
        <x:v>常温</x:v>
      </x:c>
      <x:c r="H226" s="91" t="str">
        <x:v>团餐线索</x:v>
      </x:c>
      <x:c r="I226" s="108" t="n">
        <x:v>32</x:v>
      </x:c>
      <x:c r="J226" s="108" t="n">
        <x:v>36</x:v>
      </x:c>
      <x:c r="K226" s="108" t="n">
        <x:v>36</x:v>
      </x:c>
      <x:c r="L226" s="108" t="n">
        <x:v>36</x:v>
      </x:c>
      <x:c r="M226" s="108" t="str">
        <x:v>沿用建议</x:v>
      </x:c>
      <x:c r="N226" s="108" t="n">
        <x:v>34</x:v>
      </x:c>
      <x:c r="O226" s="108" t="n">
        <x:v>50</x:v>
      </x:c>
      <x:c r="P226" s="108" t="n">
        <x:v>0</x:v>
      </x:c>
      <x:c r="Q226" s="91" t="str">
        <x:v>否</x:v>
      </x:c>
      <x:c r="R226" s="91" t="n">
        <x:v>1</x:v>
      </x:c>
      <x:c r="S226" s="91" t="str">
        <x:v>无</x:v>
      </x:c>
      <x:c r="T226" s="91" t="str">
        <x:v>模拟正常样本</x:v>
      </x:c>
      <x:c r="U226" s="91" t="n">
        <x:f>ABS(L226-N226)</x:f>
        <x:v>2</x:v>
      </x:c>
      <x:c r="V226" s="91" t="str">
        <x:f>IF(L226=K226,"沿用建议","人工调整")</x:f>
        <x:v>沿用建议</x:v>
      </x:c>
      <x:c r="W226" s="92" t="str">
        <x:f>IF(Q226="是","售罄风险",IF(P226&gt;3,"损耗风险","正常"))</x:f>
        <x:v>正常</x:v>
      </x:c>
    </x:row>
    <x:row r="227" ht="20" customHeight="1">
      <x:c r="A227" s="105" t="n">
        <x:v>46206</x:v>
      </x:c>
      <x:c r="B227" s="91" t="str">
        <x:v>模拟店 B（新开门店）</x:v>
      </x:c>
      <x:c r="C227" s="91" t="str">
        <x:v>新店</x:v>
      </x:c>
      <x:c r="D227" s="91" t="str">
        <x:v>桂花糖藕</x:v>
      </x:c>
      <x:c r="E227" s="91" t="str">
        <x:v>晚市</x:v>
      </x:c>
      <x:c r="F227" s="91" t="str">
        <x:v>工作日周五</x:v>
      </x:c>
      <x:c r="G227" s="91" t="str">
        <x:v>常温</x:v>
      </x:c>
      <x:c r="H227" s="91" t="str">
        <x:v>团餐线索</x:v>
      </x:c>
      <x:c r="I227" s="108" t="n">
        <x:v>23</x:v>
      </x:c>
      <x:c r="J227" s="108" t="n">
        <x:v>27</x:v>
      </x:c>
      <x:c r="K227" s="108" t="n">
        <x:v>27</x:v>
      </x:c>
      <x:c r="L227" s="108" t="n">
        <x:v>27</x:v>
      </x:c>
      <x:c r="M227" s="108" t="str">
        <x:v>沿用建议</x:v>
      </x:c>
      <x:c r="N227" s="108" t="n">
        <x:v>23</x:v>
      </x:c>
      <x:c r="O227" s="108" t="n">
        <x:v>35</x:v>
      </x:c>
      <x:c r="P227" s="108" t="n">
        <x:v>3</x:v>
      </x:c>
      <x:c r="Q227" s="91" t="str">
        <x:v>否</x:v>
      </x:c>
      <x:c r="R227" s="91" t="n">
        <x:v>1</x:v>
      </x:c>
      <x:c r="S227" s="91" t="str">
        <x:v>无</x:v>
      </x:c>
      <x:c r="T227" s="91" t="str">
        <x:v>模拟正常样本</x:v>
      </x:c>
      <x:c r="U227" s="91" t="n">
        <x:f>ABS(L227-N227)</x:f>
        <x:v>4</x:v>
      </x:c>
      <x:c r="V227" s="91" t="str">
        <x:f>IF(L227=K227,"沿用建议","人工调整")</x:f>
        <x:v>沿用建议</x:v>
      </x:c>
      <x:c r="W227" s="92" t="str">
        <x:f>IF(Q227="是","售罄风险",IF(P227&gt;3,"损耗风险","正常"))</x:f>
        <x:v>正常</x:v>
      </x:c>
    </x:row>
    <x:row r="228" ht="20" customHeight="1">
      <x:c r="A228" s="105" t="n">
        <x:v>46206</x:v>
      </x:c>
      <x:c r="B228" s="91" t="str">
        <x:v>模拟店 B（新开门店）</x:v>
      </x:c>
      <x:c r="C228" s="91" t="str">
        <x:v>新店</x:v>
      </x:c>
      <x:c r="D228" s="91" t="str">
        <x:v>藕夹</x:v>
      </x:c>
      <x:c r="E228" s="91" t="str">
        <x:v>晚市</x:v>
      </x:c>
      <x:c r="F228" s="91" t="str">
        <x:v>工作日周五</x:v>
      </x:c>
      <x:c r="G228" s="91" t="str">
        <x:v>常温</x:v>
      </x:c>
      <x:c r="H228" s="91" t="str">
        <x:v>团餐线索</x:v>
      </x:c>
      <x:c r="I228" s="108" t="n">
        <x:v>27</x:v>
      </x:c>
      <x:c r="J228" s="108" t="n">
        <x:v>31</x:v>
      </x:c>
      <x:c r="K228" s="108" t="n">
        <x:v>31</x:v>
      </x:c>
      <x:c r="L228" s="108" t="n">
        <x:v>31</x:v>
      </x:c>
      <x:c r="M228" s="108" t="str">
        <x:v>沿用建议</x:v>
      </x:c>
      <x:c r="N228" s="108" t="n">
        <x:v>27</x:v>
      </x:c>
      <x:c r="O228" s="108" t="n">
        <x:v>44</x:v>
      </x:c>
      <x:c r="P228" s="108" t="n">
        <x:v>2</x:v>
      </x:c>
      <x:c r="Q228" s="91" t="str">
        <x:v>否</x:v>
      </x:c>
      <x:c r="R228" s="91" t="n">
        <x:v>1</x:v>
      </x:c>
      <x:c r="S228" s="91" t="str">
        <x:v>无</x:v>
      </x:c>
      <x:c r="T228" s="91" t="str">
        <x:v>模拟正常样本</x:v>
      </x:c>
      <x:c r="U228" s="91" t="n">
        <x:f>ABS(L228-N228)</x:f>
        <x:v>4</x:v>
      </x:c>
      <x:c r="V228" s="91" t="str">
        <x:f>IF(L228=K228,"沿用建议","人工调整")</x:f>
        <x:v>沿用建议</x:v>
      </x:c>
      <x:c r="W228" s="92" t="str">
        <x:f>IF(Q228="是","售罄风险",IF(P228&gt;3,"损耗风险","正常"))</x:f>
        <x:v>正常</x:v>
      </x:c>
    </x:row>
    <x:row r="229" ht="20" customHeight="1">
      <x:c r="A229" s="105" t="n">
        <x:v>46206</x:v>
      </x:c>
      <x:c r="B229" s="91" t="str">
        <x:v>模拟店 C（社区门店）</x:v>
      </x:c>
      <x:c r="C229" s="91" t="str">
        <x:v>成长期</x:v>
      </x:c>
      <x:c r="D229" s="91" t="str">
        <x:v>筒骨煨藕汤</x:v>
      </x:c>
      <x:c r="E229" s="91" t="str">
        <x:v>晚市</x:v>
      </x:c>
      <x:c r="F229" s="91" t="str">
        <x:v>工作日周五</x:v>
      </x:c>
      <x:c r="G229" s="91" t="str">
        <x:v>降温</x:v>
      </x:c>
      <x:c r="H229" s="91" t="str">
        <x:v>团餐线索</x:v>
      </x:c>
      <x:c r="I229" s="108" t="n">
        <x:v>66</x:v>
      </x:c>
      <x:c r="J229" s="108" t="n">
        <x:v>74</x:v>
      </x:c>
      <x:c r="K229" s="108" t="n">
        <x:v>74</x:v>
      </x:c>
      <x:c r="L229" s="108" t="n">
        <x:v>72</x:v>
      </x:c>
      <x:c r="M229" s="108" t="str">
        <x:v>团餐尚未确认</x:v>
      </x:c>
      <x:c r="N229" s="108" t="n">
        <x:v>60</x:v>
      </x:c>
      <x:c r="O229" s="108" t="n">
        <x:v>83</x:v>
      </x:c>
      <x:c r="P229" s="108" t="n">
        <x:v>10</x:v>
      </x:c>
      <x:c r="Q229" s="91" t="str">
        <x:v>否</x:v>
      </x:c>
      <x:c r="R229" s="91" t="n">
        <x:v>3</x:v>
      </x:c>
      <x:c r="S229" s="91" t="str">
        <x:v>无</x:v>
      </x:c>
      <x:c r="T229" s="91" t="str">
        <x:v>模拟正常样本</x:v>
      </x:c>
      <x:c r="U229" s="91" t="n">
        <x:f>ABS(L229-N229)</x:f>
        <x:v>12</x:v>
      </x:c>
      <x:c r="V229" s="91" t="str">
        <x:f>IF(L229=K229,"沿用建议","人工调整")</x:f>
        <x:v>人工调整</x:v>
      </x:c>
      <x:c r="W229" s="92" t="str">
        <x:f>IF(Q229="是","售罄风险",IF(P229&gt;3,"损耗风险","正常"))</x:f>
        <x:v>损耗风险</x:v>
      </x:c>
    </x:row>
    <x:row r="230" ht="20" customHeight="1">
      <x:c r="A230" s="105" t="n">
        <x:v>46206</x:v>
      </x:c>
      <x:c r="B230" s="91" t="str">
        <x:v>模拟店 C（社区门店）</x:v>
      </x:c>
      <x:c r="C230" s="91" t="str">
        <x:v>成长期</x:v>
      </x:c>
      <x:c r="D230" s="91" t="str">
        <x:v>粉蒸排骨</x:v>
      </x:c>
      <x:c r="E230" s="91" t="str">
        <x:v>晚市</x:v>
      </x:c>
      <x:c r="F230" s="91" t="str">
        <x:v>工作日周五</x:v>
      </x:c>
      <x:c r="G230" s="91" t="str">
        <x:v>降温</x:v>
      </x:c>
      <x:c r="H230" s="91" t="str">
        <x:v>团餐线索</x:v>
      </x:c>
      <x:c r="I230" s="108" t="n">
        <x:v>39</x:v>
      </x:c>
      <x:c r="J230" s="108" t="n">
        <x:v>43</x:v>
      </x:c>
      <x:c r="K230" s="108" t="n">
        <x:v>43</x:v>
      </x:c>
      <x:c r="L230" s="108" t="n">
        <x:v>43</x:v>
      </x:c>
      <x:c r="M230" s="108" t="str">
        <x:v>沿用建议</x:v>
      </x:c>
      <x:c r="N230" s="108" t="n">
        <x:v>39</x:v>
      </x:c>
      <x:c r="O230" s="108" t="n">
        <x:v>57</x:v>
      </x:c>
      <x:c r="P230" s="108" t="n">
        <x:v>2</x:v>
      </x:c>
      <x:c r="Q230" s="91" t="str">
        <x:v>否</x:v>
      </x:c>
      <x:c r="R230" s="91" t="n">
        <x:v>2</x:v>
      </x:c>
      <x:c r="S230" s="91" t="str">
        <x:v>无</x:v>
      </x:c>
      <x:c r="T230" s="91" t="str">
        <x:v>模拟正常样本</x:v>
      </x:c>
      <x:c r="U230" s="91" t="n">
        <x:f>ABS(L230-N230)</x:f>
        <x:v>4</x:v>
      </x:c>
      <x:c r="V230" s="91" t="str">
        <x:f>IF(L230=K230,"沿用建议","人工调整")</x:f>
        <x:v>沿用建议</x:v>
      </x:c>
      <x:c r="W230" s="92" t="str">
        <x:f>IF(Q230="是","售罄风险",IF(P230&gt;3,"损耗风险","正常"))</x:f>
        <x:v>正常</x:v>
      </x:c>
    </x:row>
    <x:row r="231" ht="20" customHeight="1">
      <x:c r="A231" s="105" t="n">
        <x:v>46206</x:v>
      </x:c>
      <x:c r="B231" s="91" t="str">
        <x:v>模拟店 C（社区门店）</x:v>
      </x:c>
      <x:c r="C231" s="91" t="str">
        <x:v>成长期</x:v>
      </x:c>
      <x:c r="D231" s="91" t="str">
        <x:v>桂花糖藕</x:v>
      </x:c>
      <x:c r="E231" s="91" t="str">
        <x:v>晚市</x:v>
      </x:c>
      <x:c r="F231" s="91" t="str">
        <x:v>工作日周五</x:v>
      </x:c>
      <x:c r="G231" s="91" t="str">
        <x:v>降温</x:v>
      </x:c>
      <x:c r="H231" s="91" t="str">
        <x:v>团餐线索</x:v>
      </x:c>
      <x:c r="I231" s="108" t="n">
        <x:v>26</x:v>
      </x:c>
      <x:c r="J231" s="108" t="n">
        <x:v>30</x:v>
      </x:c>
      <x:c r="K231" s="108" t="n">
        <x:v>30</x:v>
      </x:c>
      <x:c r="L231" s="108" t="n">
        <x:v>30</x:v>
      </x:c>
      <x:c r="M231" s="108" t="str">
        <x:v>沿用建议</x:v>
      </x:c>
      <x:c r="N231" s="108" t="n">
        <x:v>24</x:v>
      </x:c>
      <x:c r="O231" s="108" t="n">
        <x:v>38</x:v>
      </x:c>
      <x:c r="P231" s="108" t="n">
        <x:v>5</x:v>
      </x:c>
      <x:c r="Q231" s="91" t="str">
        <x:v>否</x:v>
      </x:c>
      <x:c r="R231" s="91" t="n">
        <x:v>1</x:v>
      </x:c>
      <x:c r="S231" s="91" t="str">
        <x:v>无</x:v>
      </x:c>
      <x:c r="T231" s="91" t="str">
        <x:v>模拟正常样本</x:v>
      </x:c>
      <x:c r="U231" s="91" t="n">
        <x:f>ABS(L231-N231)</x:f>
        <x:v>6</x:v>
      </x:c>
      <x:c r="V231" s="91" t="str">
        <x:f>IF(L231=K231,"沿用建议","人工调整")</x:f>
        <x:v>沿用建议</x:v>
      </x:c>
      <x:c r="W231" s="92" t="str">
        <x:f>IF(Q231="是","售罄风险",IF(P231&gt;3,"损耗风险","正常"))</x:f>
        <x:v>损耗风险</x:v>
      </x:c>
    </x:row>
    <x:row r="232" ht="20" customHeight="1">
      <x:c r="A232" s="105" t="n">
        <x:v>46206</x:v>
      </x:c>
      <x:c r="B232" s="91" t="str">
        <x:v>模拟店 C（社区门店）</x:v>
      </x:c>
      <x:c r="C232" s="91" t="str">
        <x:v>成长期</x:v>
      </x:c>
      <x:c r="D232" s="91" t="str">
        <x:v>藕夹</x:v>
      </x:c>
      <x:c r="E232" s="91" t="str">
        <x:v>晚市</x:v>
      </x:c>
      <x:c r="F232" s="91" t="str">
        <x:v>工作日周五</x:v>
      </x:c>
      <x:c r="G232" s="91" t="str">
        <x:v>降温</x:v>
      </x:c>
      <x:c r="H232" s="91" t="str">
        <x:v>团餐线索</x:v>
      </x:c>
      <x:c r="I232" s="108" t="n">
        <x:v>32</x:v>
      </x:c>
      <x:c r="J232" s="108" t="n">
        <x:v>36</x:v>
      </x:c>
      <x:c r="K232" s="108" t="n">
        <x:v>36</x:v>
      </x:c>
      <x:c r="L232" s="108" t="n">
        <x:v>36</x:v>
      </x:c>
      <x:c r="M232" s="108" t="str">
        <x:v>沿用建议</x:v>
      </x:c>
      <x:c r="N232" s="108" t="n">
        <x:v>35</x:v>
      </x:c>
      <x:c r="O232" s="108" t="n">
        <x:v>44</x:v>
      </x:c>
      <x:c r="P232" s="108" t="n">
        <x:v>0</x:v>
      </x:c>
      <x:c r="Q232" s="91" t="str">
        <x:v>否</x:v>
      </x:c>
      <x:c r="R232" s="91" t="n">
        <x:v>0</x:v>
      </x:c>
      <x:c r="S232" s="91" t="str">
        <x:v>无</x:v>
      </x:c>
      <x:c r="T232" s="91" t="str">
        <x:v>模拟正常样本</x:v>
      </x:c>
      <x:c r="U232" s="91" t="n">
        <x:f>ABS(L232-N232)</x:f>
        <x:v>1</x:v>
      </x:c>
      <x:c r="V232" s="91" t="str">
        <x:f>IF(L232=K232,"沿用建议","人工调整")</x:f>
        <x:v>沿用建议</x:v>
      </x:c>
      <x:c r="W232" s="92" t="str">
        <x:f>IF(Q232="是","售罄风险",IF(P232&gt;3,"损耗风险","正常"))</x:f>
        <x:v>正常</x:v>
      </x:c>
    </x:row>
    <x:row r="233" ht="20" customHeight="1">
      <x:c r="A233" s="105" t="n">
        <x:v>46207</x:v>
      </x:c>
      <x:c r="B233" s="91" t="str">
        <x:v>模拟店 A（成熟商圈）</x:v>
      </x:c>
      <x:c r="C233" s="91" t="str">
        <x:v>成熟店</x:v>
      </x:c>
      <x:c r="D233" s="91" t="str">
        <x:v>筒骨煨藕汤</x:v>
      </x:c>
      <x:c r="E233" s="91" t="str">
        <x:v>晚市</x:v>
      </x:c>
      <x:c r="F233" s="91" t="str">
        <x:v>周末周六</x:v>
      </x:c>
      <x:c r="G233" s="91" t="str">
        <x:v>常温</x:v>
      </x:c>
      <x:c r="H233" s="91" t="str">
        <x:v>商圈活动</x:v>
      </x:c>
      <x:c r="I233" s="108" t="n">
        <x:v>89</x:v>
      </x:c>
      <x:c r="J233" s="108" t="n">
        <x:v>99</x:v>
      </x:c>
      <x:c r="K233" s="108" t="n">
        <x:v>99</x:v>
      </x:c>
      <x:c r="L233" s="108" t="n">
        <x:v>99</x:v>
      </x:c>
      <x:c r="M233" s="108" t="str">
        <x:v>沿用建议</x:v>
      </x:c>
      <x:c r="N233" s="108" t="n">
        <x:v>84</x:v>
      </x:c>
      <x:c r="O233" s="108" t="n">
        <x:v>108</x:v>
      </x:c>
      <x:c r="P233" s="108" t="n">
        <x:v>13</x:v>
      </x:c>
      <x:c r="Q233" s="91" t="str">
        <x:v>否</x:v>
      </x:c>
      <x:c r="R233" s="91" t="n">
        <x:v>0</x:v>
      </x:c>
      <x:c r="S233" s="91" t="str">
        <x:v>待复核</x:v>
      </x:c>
      <x:c r="T233" s="91" t="str">
        <x:v>关联异常处置日志</x:v>
      </x:c>
      <x:c r="U233" s="91" t="n">
        <x:f>ABS(L233-N233)</x:f>
        <x:v>15</x:v>
      </x:c>
      <x:c r="V233" s="91" t="str">
        <x:f>IF(L233=K233,"沿用建议","人工调整")</x:f>
        <x:v>沿用建议</x:v>
      </x:c>
      <x:c r="W233" s="92" t="str">
        <x:f>IF(Q233="是","售罄风险",IF(P233&gt;3,"损耗风险","正常"))</x:f>
        <x:v>损耗风险</x:v>
      </x:c>
    </x:row>
    <x:row r="234" ht="20" customHeight="1">
      <x:c r="A234" s="105" t="n">
        <x:v>46207</x:v>
      </x:c>
      <x:c r="B234" s="91" t="str">
        <x:v>模拟店 A（成熟商圈）</x:v>
      </x:c>
      <x:c r="C234" s="91" t="str">
        <x:v>成熟店</x:v>
      </x:c>
      <x:c r="D234" s="91" t="str">
        <x:v>粉蒸排骨</x:v>
      </x:c>
      <x:c r="E234" s="91" t="str">
        <x:v>晚市</x:v>
      </x:c>
      <x:c r="F234" s="91" t="str">
        <x:v>周末周六</x:v>
      </x:c>
      <x:c r="G234" s="91" t="str">
        <x:v>常温</x:v>
      </x:c>
      <x:c r="H234" s="91" t="str">
        <x:v>商圈活动</x:v>
      </x:c>
      <x:c r="I234" s="108" t="n">
        <x:v>50</x:v>
      </x:c>
      <x:c r="J234" s="108" t="n">
        <x:v>55</x:v>
      </x:c>
      <x:c r="K234" s="108" t="n">
        <x:v>55</x:v>
      </x:c>
      <x:c r="L234" s="108" t="n">
        <x:v>55</x:v>
      </x:c>
      <x:c r="M234" s="108" t="str">
        <x:v>沿用建议</x:v>
      </x:c>
      <x:c r="N234" s="108" t="n">
        <x:v>50</x:v>
      </x:c>
      <x:c r="O234" s="108" t="n">
        <x:v>64</x:v>
      </x:c>
      <x:c r="P234" s="108" t="n">
        <x:v>3</x:v>
      </x:c>
      <x:c r="Q234" s="91" t="str">
        <x:v>否</x:v>
      </x:c>
      <x:c r="R234" s="91" t="n">
        <x:v>3</x:v>
      </x:c>
      <x:c r="S234" s="91" t="str">
        <x:v>无</x:v>
      </x:c>
      <x:c r="T234" s="91" t="str">
        <x:v>模拟正常样本</x:v>
      </x:c>
      <x:c r="U234" s="91" t="n">
        <x:f>ABS(L234-N234)</x:f>
        <x:v>5</x:v>
      </x:c>
      <x:c r="V234" s="91" t="str">
        <x:f>IF(L234=K234,"沿用建议","人工调整")</x:f>
        <x:v>沿用建议</x:v>
      </x:c>
      <x:c r="W234" s="92" t="str">
        <x:f>IF(Q234="是","售罄风险",IF(P234&gt;3,"损耗风险","正常"))</x:f>
        <x:v>正常</x:v>
      </x:c>
    </x:row>
    <x:row r="235" ht="20" customHeight="1">
      <x:c r="A235" s="105" t="n">
        <x:v>46207</x:v>
      </x:c>
      <x:c r="B235" s="91" t="str">
        <x:v>模拟店 A（成熟商圈）</x:v>
      </x:c>
      <x:c r="C235" s="91" t="str">
        <x:v>成熟店</x:v>
      </x:c>
      <x:c r="D235" s="91" t="str">
        <x:v>桂花糖藕</x:v>
      </x:c>
      <x:c r="E235" s="91" t="str">
        <x:v>晚市</x:v>
      </x:c>
      <x:c r="F235" s="91" t="str">
        <x:v>周末周六</x:v>
      </x:c>
      <x:c r="G235" s="91" t="str">
        <x:v>常温</x:v>
      </x:c>
      <x:c r="H235" s="91" t="str">
        <x:v>商圈活动</x:v>
      </x:c>
      <x:c r="I235" s="108" t="n">
        <x:v>36</x:v>
      </x:c>
      <x:c r="J235" s="108" t="n">
        <x:v>41</x:v>
      </x:c>
      <x:c r="K235" s="108" t="n">
        <x:v>41</x:v>
      </x:c>
      <x:c r="L235" s="108" t="n">
        <x:v>41</x:v>
      </x:c>
      <x:c r="M235" s="108" t="str">
        <x:v>沿用建议</x:v>
      </x:c>
      <x:c r="N235" s="108" t="n">
        <x:v>39</x:v>
      </x:c>
      <x:c r="O235" s="108" t="n">
        <x:v>51</x:v>
      </x:c>
      <x:c r="P235" s="108" t="n">
        <x:v>1</x:v>
      </x:c>
      <x:c r="Q235" s="91" t="str">
        <x:v>否</x:v>
      </x:c>
      <x:c r="R235" s="91" t="n">
        <x:v>3</x:v>
      </x:c>
      <x:c r="S235" s="91" t="str">
        <x:v>无</x:v>
      </x:c>
      <x:c r="T235" s="91" t="str">
        <x:v>模拟正常样本</x:v>
      </x:c>
      <x:c r="U235" s="91" t="n">
        <x:f>ABS(L235-N235)</x:f>
        <x:v>2</x:v>
      </x:c>
      <x:c r="V235" s="91" t="str">
        <x:f>IF(L235=K235,"沿用建议","人工调整")</x:f>
        <x:v>沿用建议</x:v>
      </x:c>
      <x:c r="W235" s="92" t="str">
        <x:f>IF(Q235="是","售罄风险",IF(P235&gt;3,"损耗风险","正常"))</x:f>
        <x:v>正常</x:v>
      </x:c>
    </x:row>
    <x:row r="236" ht="20" customHeight="1">
      <x:c r="A236" s="105" t="n">
        <x:v>46207</x:v>
      </x:c>
      <x:c r="B236" s="91" t="str">
        <x:v>模拟店 A（成熟商圈）</x:v>
      </x:c>
      <x:c r="C236" s="91" t="str">
        <x:v>成熟店</x:v>
      </x:c>
      <x:c r="D236" s="91" t="str">
        <x:v>藕夹</x:v>
      </x:c>
      <x:c r="E236" s="91" t="str">
        <x:v>晚市</x:v>
      </x:c>
      <x:c r="F236" s="91" t="str">
        <x:v>周末周六</x:v>
      </x:c>
      <x:c r="G236" s="91" t="str">
        <x:v>常温</x:v>
      </x:c>
      <x:c r="H236" s="91" t="str">
        <x:v>商圈活动</x:v>
      </x:c>
      <x:c r="I236" s="108" t="n">
        <x:v>40</x:v>
      </x:c>
      <x:c r="J236" s="108" t="n">
        <x:v>44</x:v>
      </x:c>
      <x:c r="K236" s="108" t="n">
        <x:v>44</x:v>
      </x:c>
      <x:c r="L236" s="108" t="n">
        <x:v>44</x:v>
      </x:c>
      <x:c r="M236" s="108" t="str">
        <x:v>沿用建议</x:v>
      </x:c>
      <x:c r="N236" s="108" t="n">
        <x:v>44</x:v>
      </x:c>
      <x:c r="O236" s="108" t="n">
        <x:v>56</x:v>
      </x:c>
      <x:c r="P236" s="108" t="n">
        <x:v>0</x:v>
      </x:c>
      <x:c r="Q236" s="91" t="str">
        <x:v>是</x:v>
      </x:c>
      <x:c r="R236" s="91" t="n">
        <x:v>3</x:v>
      </x:c>
      <x:c r="S236" s="91" t="str">
        <x:v>无</x:v>
      </x:c>
      <x:c r="T236" s="91" t="str">
        <x:v>晚市需求高于确认备餐</x:v>
      </x:c>
      <x:c r="U236" s="91" t="n">
        <x:f>ABS(L236-N236)</x:f>
        <x:v>0</x:v>
      </x:c>
      <x:c r="V236" s="91" t="str">
        <x:f>IF(L236=K236,"沿用建议","人工调整")</x:f>
        <x:v>沿用建议</x:v>
      </x:c>
      <x:c r="W236" s="92" t="str">
        <x:f>IF(Q236="是","售罄风险",IF(P236&gt;3,"损耗风险","正常"))</x:f>
        <x:v>售罄风险</x:v>
      </x:c>
    </x:row>
    <x:row r="237" ht="20" customHeight="1">
      <x:c r="A237" s="105" t="n">
        <x:v>46207</x:v>
      </x:c>
      <x:c r="B237" s="91" t="str">
        <x:v>模拟店 B（新开门店）</x:v>
      </x:c>
      <x:c r="C237" s="91" t="str">
        <x:v>新店</x:v>
      </x:c>
      <x:c r="D237" s="91" t="str">
        <x:v>筒骨煨藕汤</x:v>
      </x:c>
      <x:c r="E237" s="91" t="str">
        <x:v>晚市</x:v>
      </x:c>
      <x:c r="F237" s="91" t="str">
        <x:v>周末周六</x:v>
      </x:c>
      <x:c r="G237" s="91" t="str">
        <x:v>降温</x:v>
      </x:c>
      <x:c r="H237" s="91" t="str">
        <x:v>商圈活动</x:v>
      </x:c>
      <x:c r="I237" s="108" t="n">
        <x:v>73</x:v>
      </x:c>
      <x:c r="J237" s="108" t="n">
        <x:v>82</x:v>
      </x:c>
      <x:c r="K237" s="108" t="n">
        <x:v>82</x:v>
      </x:c>
      <x:c r="L237" s="108" t="n">
        <x:v>85</x:v>
      </x:c>
      <x:c r="M237" s="108" t="str">
        <x:v>当班经验判断</x:v>
      </x:c>
      <x:c r="N237" s="108" t="n">
        <x:v>81</x:v>
      </x:c>
      <x:c r="O237" s="108" t="n">
        <x:v>95</x:v>
      </x:c>
      <x:c r="P237" s="108" t="n">
        <x:v>2</x:v>
      </x:c>
      <x:c r="Q237" s="91" t="str">
        <x:v>否</x:v>
      </x:c>
      <x:c r="R237" s="91" t="n">
        <x:v>3</x:v>
      </x:c>
      <x:c r="S237" s="91" t="str">
        <x:v>无</x:v>
      </x:c>
      <x:c r="T237" s="91" t="str">
        <x:v>模拟正常样本</x:v>
      </x:c>
      <x:c r="U237" s="91" t="n">
        <x:f>ABS(L237-N237)</x:f>
        <x:v>4</x:v>
      </x:c>
      <x:c r="V237" s="91" t="str">
        <x:f>IF(L237=K237,"沿用建议","人工调整")</x:f>
        <x:v>人工调整</x:v>
      </x:c>
      <x:c r="W237" s="92" t="str">
        <x:f>IF(Q237="是","售罄风险",IF(P237&gt;3,"损耗风险","正常"))</x:f>
        <x:v>正常</x:v>
      </x:c>
    </x:row>
    <x:row r="238" ht="20" customHeight="1">
      <x:c r="A238" s="105" t="n">
        <x:v>46207</x:v>
      </x:c>
      <x:c r="B238" s="91" t="str">
        <x:v>模拟店 B（新开门店）</x:v>
      </x:c>
      <x:c r="C238" s="91" t="str">
        <x:v>新店</x:v>
      </x:c>
      <x:c r="D238" s="91" t="str">
        <x:v>粉蒸排骨</x:v>
      </x:c>
      <x:c r="E238" s="91" t="str">
        <x:v>晚市</x:v>
      </x:c>
      <x:c r="F238" s="91" t="str">
        <x:v>周末周六</x:v>
      </x:c>
      <x:c r="G238" s="91" t="str">
        <x:v>降温</x:v>
      </x:c>
      <x:c r="H238" s="91" t="str">
        <x:v>商圈活动</x:v>
      </x:c>
      <x:c r="I238" s="108" t="n">
        <x:v>38</x:v>
      </x:c>
      <x:c r="J238" s="108" t="n">
        <x:v>42</x:v>
      </x:c>
      <x:c r="K238" s="108" t="n">
        <x:v>42</x:v>
      </x:c>
      <x:c r="L238" s="108" t="n">
        <x:v>42</x:v>
      </x:c>
      <x:c r="M238" s="108" t="str">
        <x:v>沿用建议</x:v>
      </x:c>
      <x:c r="N238" s="108" t="n">
        <x:v>42</x:v>
      </x:c>
      <x:c r="O238" s="108" t="n">
        <x:v>56</x:v>
      </x:c>
      <x:c r="P238" s="108" t="n">
        <x:v>0</x:v>
      </x:c>
      <x:c r="Q238" s="91" t="str">
        <x:v>否</x:v>
      </x:c>
      <x:c r="R238" s="91" t="n">
        <x:v>3</x:v>
      </x:c>
      <x:c r="S238" s="91" t="str">
        <x:v>无</x:v>
      </x:c>
      <x:c r="T238" s="91" t="str">
        <x:v>模拟正常样本</x:v>
      </x:c>
      <x:c r="U238" s="91" t="n">
        <x:f>ABS(L238-N238)</x:f>
        <x:v>0</x:v>
      </x:c>
      <x:c r="V238" s="91" t="str">
        <x:f>IF(L238=K238,"沿用建议","人工调整")</x:f>
        <x:v>沿用建议</x:v>
      </x:c>
      <x:c r="W238" s="92" t="str">
        <x:f>IF(Q238="是","售罄风险",IF(P238&gt;3,"损耗风险","正常"))</x:f>
        <x:v>正常</x:v>
      </x:c>
    </x:row>
    <x:row r="239" ht="20" customHeight="1">
      <x:c r="A239" s="105" t="n">
        <x:v>46207</x:v>
      </x:c>
      <x:c r="B239" s="91" t="str">
        <x:v>模拟店 B（新开门店）</x:v>
      </x:c>
      <x:c r="C239" s="91" t="str">
        <x:v>新店</x:v>
      </x:c>
      <x:c r="D239" s="91" t="str">
        <x:v>桂花糖藕</x:v>
      </x:c>
      <x:c r="E239" s="91" t="str">
        <x:v>晚市</x:v>
      </x:c>
      <x:c r="F239" s="91" t="str">
        <x:v>周末周六</x:v>
      </x:c>
      <x:c r="G239" s="91" t="str">
        <x:v>降温</x:v>
      </x:c>
      <x:c r="H239" s="91" t="str">
        <x:v>商圈活动</x:v>
      </x:c>
      <x:c r="I239" s="108" t="n">
        <x:v>25</x:v>
      </x:c>
      <x:c r="J239" s="108" t="n">
        <x:v>29</x:v>
      </x:c>
      <x:c r="K239" s="108" t="n">
        <x:v>29</x:v>
      </x:c>
      <x:c r="L239" s="108" t="n">
        <x:v>29</x:v>
      </x:c>
      <x:c r="M239" s="108" t="str">
        <x:v>沿用建议</x:v>
      </x:c>
      <x:c r="N239" s="108" t="n">
        <x:v>29</x:v>
      </x:c>
      <x:c r="O239" s="108" t="n">
        <x:v>40</x:v>
      </x:c>
      <x:c r="P239" s="108" t="n">
        <x:v>0</x:v>
      </x:c>
      <x:c r="Q239" s="91" t="str">
        <x:v>是</x:v>
      </x:c>
      <x:c r="R239" s="91" t="n">
        <x:v>4</x:v>
      </x:c>
      <x:c r="S239" s="91" t="str">
        <x:v>无</x:v>
      </x:c>
      <x:c r="T239" s="91" t="str">
        <x:v>晚市需求高于确认备餐</x:v>
      </x:c>
      <x:c r="U239" s="91" t="n">
        <x:f>ABS(L239-N239)</x:f>
        <x:v>0</x:v>
      </x:c>
      <x:c r="V239" s="91" t="str">
        <x:f>IF(L239=K239,"沿用建议","人工调整")</x:f>
        <x:v>沿用建议</x:v>
      </x:c>
      <x:c r="W239" s="92" t="str">
        <x:f>IF(Q239="是","售罄风险",IF(P239&gt;3,"损耗风险","正常"))</x:f>
        <x:v>售罄风险</x:v>
      </x:c>
    </x:row>
    <x:row r="240" ht="20" customHeight="1">
      <x:c r="A240" s="105" t="n">
        <x:v>46207</x:v>
      </x:c>
      <x:c r="B240" s="91" t="str">
        <x:v>模拟店 B（新开门店）</x:v>
      </x:c>
      <x:c r="C240" s="91" t="str">
        <x:v>新店</x:v>
      </x:c>
      <x:c r="D240" s="91" t="str">
        <x:v>藕夹</x:v>
      </x:c>
      <x:c r="E240" s="91" t="str">
        <x:v>晚市</x:v>
      </x:c>
      <x:c r="F240" s="91" t="str">
        <x:v>周末周六</x:v>
      </x:c>
      <x:c r="G240" s="91" t="str">
        <x:v>降温</x:v>
      </x:c>
      <x:c r="H240" s="91" t="str">
        <x:v>商圈活动</x:v>
      </x:c>
      <x:c r="I240" s="108" t="n">
        <x:v>31</x:v>
      </x:c>
      <x:c r="J240" s="108" t="n">
        <x:v>35</x:v>
      </x:c>
      <x:c r="K240" s="108" t="n">
        <x:v>35</x:v>
      </x:c>
      <x:c r="L240" s="108" t="n">
        <x:v>35</x:v>
      </x:c>
      <x:c r="M240" s="108" t="str">
        <x:v>沿用建议</x:v>
      </x:c>
      <x:c r="N240" s="108" t="n">
        <x:v>33</x:v>
      </x:c>
      <x:c r="O240" s="108" t="n">
        <x:v>49</x:v>
      </x:c>
      <x:c r="P240" s="108" t="n">
        <x:v>0</x:v>
      </x:c>
      <x:c r="Q240" s="91" t="str">
        <x:v>否</x:v>
      </x:c>
      <x:c r="R240" s="91" t="n">
        <x:v>0</x:v>
      </x:c>
      <x:c r="S240" s="91" t="str">
        <x:v>无</x:v>
      </x:c>
      <x:c r="T240" s="91" t="str">
        <x:v>模拟正常样本</x:v>
      </x:c>
      <x:c r="U240" s="91" t="n">
        <x:f>ABS(L240-N240)</x:f>
        <x:v>2</x:v>
      </x:c>
      <x:c r="V240" s="91" t="str">
        <x:f>IF(L240=K240,"沿用建议","人工调整")</x:f>
        <x:v>沿用建议</x:v>
      </x:c>
      <x:c r="W240" s="92" t="str">
        <x:f>IF(Q240="是","售罄风险",IF(P240&gt;3,"损耗风险","正常"))</x:f>
        <x:v>正常</x:v>
      </x:c>
    </x:row>
    <x:row r="241" ht="20" customHeight="1">
      <x:c r="A241" s="105" t="n">
        <x:v>46207</x:v>
      </x:c>
      <x:c r="B241" s="91" t="str">
        <x:v>模拟店 C（社区门店）</x:v>
      </x:c>
      <x:c r="C241" s="91" t="str">
        <x:v>成长期</x:v>
      </x:c>
      <x:c r="D241" s="91" t="str">
        <x:v>筒骨煨藕汤</x:v>
      </x:c>
      <x:c r="E241" s="91" t="str">
        <x:v>晚市</x:v>
      </x:c>
      <x:c r="F241" s="91" t="str">
        <x:v>周末周六</x:v>
      </x:c>
      <x:c r="G241" s="91" t="str">
        <x:v>常温</x:v>
      </x:c>
      <x:c r="H241" s="91" t="str">
        <x:v>商圈活动</x:v>
      </x:c>
      <x:c r="I241" s="108" t="n">
        <x:v>69</x:v>
      </x:c>
      <x:c r="J241" s="108" t="n">
        <x:v>77</x:v>
      </x:c>
      <x:c r="K241" s="108" t="n">
        <x:v>77</x:v>
      </x:c>
      <x:c r="L241" s="108" t="n">
        <x:v>77</x:v>
      </x:c>
      <x:c r="M241" s="108" t="str">
        <x:v>沿用建议</x:v>
      </x:c>
      <x:c r="N241" s="108" t="n">
        <x:v>68</x:v>
      </x:c>
      <x:c r="O241" s="108" t="n">
        <x:v>87</x:v>
      </x:c>
      <x:c r="P241" s="108" t="n">
        <x:v>7</x:v>
      </x:c>
      <x:c r="Q241" s="91" t="str">
        <x:v>否</x:v>
      </x:c>
      <x:c r="R241" s="91" t="n">
        <x:v>1</x:v>
      </x:c>
      <x:c r="S241" s="91" t="str">
        <x:v>无</x:v>
      </x:c>
      <x:c r="T241" s="91" t="str">
        <x:v>模拟正常样本</x:v>
      </x:c>
      <x:c r="U241" s="91" t="n">
        <x:f>ABS(L241-N241)</x:f>
        <x:v>9</x:v>
      </x:c>
      <x:c r="V241" s="91" t="str">
        <x:f>IF(L241=K241,"沿用建议","人工调整")</x:f>
        <x:v>沿用建议</x:v>
      </x:c>
      <x:c r="W241" s="92" t="str">
        <x:f>IF(Q241="是","售罄风险",IF(P241&gt;3,"损耗风险","正常"))</x:f>
        <x:v>损耗风险</x:v>
      </x:c>
    </x:row>
    <x:row r="242" ht="20" customHeight="1">
      <x:c r="A242" s="105" t="n">
        <x:v>46207</x:v>
      </x:c>
      <x:c r="B242" s="91" t="str">
        <x:v>模拟店 C（社区门店）</x:v>
      </x:c>
      <x:c r="C242" s="91" t="str">
        <x:v>成长期</x:v>
      </x:c>
      <x:c r="D242" s="91" t="str">
        <x:v>粉蒸排骨</x:v>
      </x:c>
      <x:c r="E242" s="91" t="str">
        <x:v>晚市</x:v>
      </x:c>
      <x:c r="F242" s="91" t="str">
        <x:v>周末周六</x:v>
      </x:c>
      <x:c r="G242" s="91" t="str">
        <x:v>常温</x:v>
      </x:c>
      <x:c r="H242" s="91" t="str">
        <x:v>商圈活动</x:v>
      </x:c>
      <x:c r="I242" s="108" t="n">
        <x:v>43</x:v>
      </x:c>
      <x:c r="J242" s="108" t="n">
        <x:v>47</x:v>
      </x:c>
      <x:c r="K242" s="108" t="n">
        <x:v>47</x:v>
      </x:c>
      <x:c r="L242" s="108" t="n">
        <x:v>47</x:v>
      </x:c>
      <x:c r="M242" s="108" t="str">
        <x:v>沿用建议</x:v>
      </x:c>
      <x:c r="N242" s="108" t="n">
        <x:v>44</x:v>
      </x:c>
      <x:c r="O242" s="108" t="n">
        <x:v>56</x:v>
      </x:c>
      <x:c r="P242" s="108" t="n">
        <x:v>1</x:v>
      </x:c>
      <x:c r="Q242" s="91" t="str">
        <x:v>否</x:v>
      </x:c>
      <x:c r="R242" s="91" t="n">
        <x:v>2</x:v>
      </x:c>
      <x:c r="S242" s="91" t="str">
        <x:v>无</x:v>
      </x:c>
      <x:c r="T242" s="91" t="str">
        <x:v>模拟正常样本</x:v>
      </x:c>
      <x:c r="U242" s="91" t="n">
        <x:f>ABS(L242-N242)</x:f>
        <x:v>3</x:v>
      </x:c>
      <x:c r="V242" s="91" t="str">
        <x:f>IF(L242=K242,"沿用建议","人工调整")</x:f>
        <x:v>沿用建议</x:v>
      </x:c>
      <x:c r="W242" s="92" t="str">
        <x:f>IF(Q242="是","售罄风险",IF(P242&gt;3,"损耗风险","正常"))</x:f>
        <x:v>正常</x:v>
      </x:c>
    </x:row>
    <x:row r="243" ht="20" customHeight="1">
      <x:c r="A243" s="105" t="n">
        <x:v>46207</x:v>
      </x:c>
      <x:c r="B243" s="91" t="str">
        <x:v>模拟店 C（社区门店）</x:v>
      </x:c>
      <x:c r="C243" s="91" t="str">
        <x:v>成长期</x:v>
      </x:c>
      <x:c r="D243" s="91" t="str">
        <x:v>桂花糖藕</x:v>
      </x:c>
      <x:c r="E243" s="91" t="str">
        <x:v>晚市</x:v>
      </x:c>
      <x:c r="F243" s="91" t="str">
        <x:v>周末周六</x:v>
      </x:c>
      <x:c r="G243" s="91" t="str">
        <x:v>常温</x:v>
      </x:c>
      <x:c r="H243" s="91" t="str">
        <x:v>商圈活动</x:v>
      </x:c>
      <x:c r="I243" s="108" t="n">
        <x:v>29</x:v>
      </x:c>
      <x:c r="J243" s="108" t="n">
        <x:v>33</x:v>
      </x:c>
      <x:c r="K243" s="108" t="n">
        <x:v>33</x:v>
      </x:c>
      <x:c r="L243" s="108" t="n">
        <x:v>33</x:v>
      </x:c>
      <x:c r="M243" s="108" t="str">
        <x:v>沿用建议</x:v>
      </x:c>
      <x:c r="N243" s="108" t="n">
        <x:v>32</x:v>
      </x:c>
      <x:c r="O243" s="108" t="n">
        <x:v>45</x:v>
      </x:c>
      <x:c r="P243" s="108" t="n">
        <x:v>0</x:v>
      </x:c>
      <x:c r="Q243" s="91" t="str">
        <x:v>否</x:v>
      </x:c>
      <x:c r="R243" s="91" t="n">
        <x:v>3</x:v>
      </x:c>
      <x:c r="S243" s="91" t="str">
        <x:v>无</x:v>
      </x:c>
      <x:c r="T243" s="91" t="str">
        <x:v>模拟正常样本</x:v>
      </x:c>
      <x:c r="U243" s="91" t="n">
        <x:f>ABS(L243-N243)</x:f>
        <x:v>1</x:v>
      </x:c>
      <x:c r="V243" s="91" t="str">
        <x:f>IF(L243=K243,"沿用建议","人工调整")</x:f>
        <x:v>沿用建议</x:v>
      </x:c>
      <x:c r="W243" s="92" t="str">
        <x:f>IF(Q243="是","售罄风险",IF(P243&gt;3,"损耗风险","正常"))</x:f>
        <x:v>正常</x:v>
      </x:c>
    </x:row>
    <x:row r="244" ht="20" customHeight="1">
      <x:c r="A244" s="105" t="n">
        <x:v>46207</x:v>
      </x:c>
      <x:c r="B244" s="91" t="str">
        <x:v>模拟店 C（社区门店）</x:v>
      </x:c>
      <x:c r="C244" s="91" t="str">
        <x:v>成长期</x:v>
      </x:c>
      <x:c r="D244" s="91" t="str">
        <x:v>藕夹</x:v>
      </x:c>
      <x:c r="E244" s="91" t="str">
        <x:v>晚市</x:v>
      </x:c>
      <x:c r="F244" s="91" t="str">
        <x:v>周末周六</x:v>
      </x:c>
      <x:c r="G244" s="91" t="str">
        <x:v>常温</x:v>
      </x:c>
      <x:c r="H244" s="91" t="str">
        <x:v>商圈活动</x:v>
      </x:c>
      <x:c r="I244" s="108" t="n">
        <x:v>33</x:v>
      </x:c>
      <x:c r="J244" s="108" t="n">
        <x:v>37</x:v>
      </x:c>
      <x:c r="K244" s="108" t="n">
        <x:v>37</x:v>
      </x:c>
      <x:c r="L244" s="108" t="n">
        <x:v>37</x:v>
      </x:c>
      <x:c r="M244" s="108" t="str">
        <x:v>沿用建议</x:v>
      </x:c>
      <x:c r="N244" s="108" t="n">
        <x:v>36</x:v>
      </x:c>
      <x:c r="O244" s="108" t="n">
        <x:v>45</x:v>
      </x:c>
      <x:c r="P244" s="108" t="n">
        <x:v>0</x:v>
      </x:c>
      <x:c r="Q244" s="91" t="str">
        <x:v>否</x:v>
      </x:c>
      <x:c r="R244" s="91" t="n">
        <x:v>2</x:v>
      </x:c>
      <x:c r="S244" s="91" t="str">
        <x:v>无</x:v>
      </x:c>
      <x:c r="T244" s="91" t="str">
        <x:v>模拟正常样本</x:v>
      </x:c>
      <x:c r="U244" s="91" t="n">
        <x:f>ABS(L244-N244)</x:f>
        <x:v>1</x:v>
      </x:c>
      <x:c r="V244" s="91" t="str">
        <x:f>IF(L244=K244,"沿用建议","人工调整")</x:f>
        <x:v>沿用建议</x:v>
      </x:c>
      <x:c r="W244" s="92" t="str">
        <x:f>IF(Q244="是","售罄风险",IF(P244&gt;3,"损耗风险","正常"))</x:f>
        <x:v>正常</x:v>
      </x:c>
    </x:row>
    <x:row r="245" ht="20" customHeight="1">
      <x:c r="A245" s="105" t="n">
        <x:v>46208</x:v>
      </x:c>
      <x:c r="B245" s="91" t="str">
        <x:v>模拟店 A（成熟商圈）</x:v>
      </x:c>
      <x:c r="C245" s="91" t="str">
        <x:v>成熟店</x:v>
      </x:c>
      <x:c r="D245" s="91" t="str">
        <x:v>筒骨煨藕汤</x:v>
      </x:c>
      <x:c r="E245" s="91" t="str">
        <x:v>晚市</x:v>
      </x:c>
      <x:c r="F245" s="91" t="str">
        <x:v>周末周日</x:v>
      </x:c>
      <x:c r="G245" s="91" t="str">
        <x:v>降温</x:v>
      </x:c>
      <x:c r="H245" s="91" t="str">
        <x:v>无</x:v>
      </x:c>
      <x:c r="I245" s="108" t="n">
        <x:v>89</x:v>
      </x:c>
      <x:c r="J245" s="108" t="n">
        <x:v>99</x:v>
      </x:c>
      <x:c r="K245" s="108" t="n">
        <x:v>99</x:v>
      </x:c>
      <x:c r="L245" s="108" t="n">
        <x:v>99</x:v>
      </x:c>
      <x:c r="M245" s="108" t="str">
        <x:v>沿用建议</x:v>
      </x:c>
      <x:c r="N245" s="108" t="n">
        <x:v>91</x:v>
      </x:c>
      <x:c r="O245" s="108" t="n">
        <x:v>108</x:v>
      </x:c>
      <x:c r="P245" s="108" t="n">
        <x:v>6</x:v>
      </x:c>
      <x:c r="Q245" s="91" t="str">
        <x:v>否</x:v>
      </x:c>
      <x:c r="R245" s="91" t="n">
        <x:v>1</x:v>
      </x:c>
      <x:c r="S245" s="91" t="str">
        <x:v>无</x:v>
      </x:c>
      <x:c r="T245" s="91" t="str">
        <x:v>模拟正常样本</x:v>
      </x:c>
      <x:c r="U245" s="91" t="n">
        <x:f>ABS(L245-N245)</x:f>
        <x:v>8</x:v>
      </x:c>
      <x:c r="V245" s="91" t="str">
        <x:f>IF(L245=K245,"沿用建议","人工调整")</x:f>
        <x:v>沿用建议</x:v>
      </x:c>
      <x:c r="W245" s="92" t="str">
        <x:f>IF(Q245="是","售罄风险",IF(P245&gt;3,"损耗风险","正常"))</x:f>
        <x:v>损耗风险</x:v>
      </x:c>
    </x:row>
    <x:row r="246" ht="20" customHeight="1">
      <x:c r="A246" s="105" t="n">
        <x:v>46208</x:v>
      </x:c>
      <x:c r="B246" s="91" t="str">
        <x:v>模拟店 A（成熟商圈）</x:v>
      </x:c>
      <x:c r="C246" s="91" t="str">
        <x:v>成熟店</x:v>
      </x:c>
      <x:c r="D246" s="91" t="str">
        <x:v>粉蒸排骨</x:v>
      </x:c>
      <x:c r="E246" s="91" t="str">
        <x:v>晚市</x:v>
      </x:c>
      <x:c r="F246" s="91" t="str">
        <x:v>周末周日</x:v>
      </x:c>
      <x:c r="G246" s="91" t="str">
        <x:v>降温</x:v>
      </x:c>
      <x:c r="H246" s="91" t="str">
        <x:v>无</x:v>
      </x:c>
      <x:c r="I246" s="108" t="n">
        <x:v>49</x:v>
      </x:c>
      <x:c r="J246" s="108" t="n">
        <x:v>53</x:v>
      </x:c>
      <x:c r="K246" s="108" t="n">
        <x:v>53</x:v>
      </x:c>
      <x:c r="L246" s="108" t="n">
        <x:v>53</x:v>
      </x:c>
      <x:c r="M246" s="108" t="str">
        <x:v>沿用建议</x:v>
      </x:c>
      <x:c r="N246" s="108" t="n">
        <x:v>52</x:v>
      </x:c>
      <x:c r="O246" s="108" t="n">
        <x:v>62</x:v>
      </x:c>
      <x:c r="P246" s="108" t="n">
        <x:v>0</x:v>
      </x:c>
      <x:c r="Q246" s="91" t="str">
        <x:v>否</x:v>
      </x:c>
      <x:c r="R246" s="91" t="n">
        <x:v>3</x:v>
      </x:c>
      <x:c r="S246" s="91" t="str">
        <x:v>无</x:v>
      </x:c>
      <x:c r="T246" s="91" t="str">
        <x:v>模拟正常样本</x:v>
      </x:c>
      <x:c r="U246" s="91" t="n">
        <x:f>ABS(L246-N246)</x:f>
        <x:v>1</x:v>
      </x:c>
      <x:c r="V246" s="91" t="str">
        <x:f>IF(L246=K246,"沿用建议","人工调整")</x:f>
        <x:v>沿用建议</x:v>
      </x:c>
      <x:c r="W246" s="92" t="str">
        <x:f>IF(Q246="是","售罄风险",IF(P246&gt;3,"损耗风险","正常"))</x:f>
        <x:v>正常</x:v>
      </x:c>
    </x:row>
    <x:row r="247" ht="20" customHeight="1">
      <x:c r="A247" s="105" t="n">
        <x:v>46208</x:v>
      </x:c>
      <x:c r="B247" s="91" t="str">
        <x:v>模拟店 A（成熟商圈）</x:v>
      </x:c>
      <x:c r="C247" s="91" t="str">
        <x:v>成熟店</x:v>
      </x:c>
      <x:c r="D247" s="91" t="str">
        <x:v>桂花糖藕</x:v>
      </x:c>
      <x:c r="E247" s="91" t="str">
        <x:v>晚市</x:v>
      </x:c>
      <x:c r="F247" s="91" t="str">
        <x:v>周末周日</x:v>
      </x:c>
      <x:c r="G247" s="91" t="str">
        <x:v>降温</x:v>
      </x:c>
      <x:c r="H247" s="91" t="str">
        <x:v>无</x:v>
      </x:c>
      <x:c r="I247" s="108" t="n">
        <x:v>33</x:v>
      </x:c>
      <x:c r="J247" s="108" t="n">
        <x:v>38</x:v>
      </x:c>
      <x:c r="K247" s="108" t="n">
        <x:v>38</x:v>
      </x:c>
      <x:c r="L247" s="108" t="n">
        <x:v>38</x:v>
      </x:c>
      <x:c r="M247" s="108" t="str">
        <x:v>沿用建议</x:v>
      </x:c>
      <x:c r="N247" s="108" t="n">
        <x:v>35</x:v>
      </x:c>
      <x:c r="O247" s="108" t="n">
        <x:v>51</x:v>
      </x:c>
      <x:c r="P247" s="108" t="n">
        <x:v>2</x:v>
      </x:c>
      <x:c r="Q247" s="91" t="str">
        <x:v>否</x:v>
      </x:c>
      <x:c r="R247" s="91" t="n">
        <x:v>1</x:v>
      </x:c>
      <x:c r="S247" s="91" t="str">
        <x:v>无</x:v>
      </x:c>
      <x:c r="T247" s="91" t="str">
        <x:v>模拟正常样本</x:v>
      </x:c>
      <x:c r="U247" s="91" t="n">
        <x:f>ABS(L247-N247)</x:f>
        <x:v>3</x:v>
      </x:c>
      <x:c r="V247" s="91" t="str">
        <x:f>IF(L247=K247,"沿用建议","人工调整")</x:f>
        <x:v>沿用建议</x:v>
      </x:c>
      <x:c r="W247" s="92" t="str">
        <x:f>IF(Q247="是","售罄风险",IF(P247&gt;3,"损耗风险","正常"))</x:f>
        <x:v>正常</x:v>
      </x:c>
    </x:row>
    <x:row r="248" ht="20" customHeight="1">
      <x:c r="A248" s="105" t="n">
        <x:v>46208</x:v>
      </x:c>
      <x:c r="B248" s="91" t="str">
        <x:v>模拟店 A（成熟商圈）</x:v>
      </x:c>
      <x:c r="C248" s="91" t="str">
        <x:v>成熟店</x:v>
      </x:c>
      <x:c r="D248" s="91" t="str">
        <x:v>藕夹</x:v>
      </x:c>
      <x:c r="E248" s="91" t="str">
        <x:v>晚市</x:v>
      </x:c>
      <x:c r="F248" s="91" t="str">
        <x:v>周末周日</x:v>
      </x:c>
      <x:c r="G248" s="91" t="str">
        <x:v>降温</x:v>
      </x:c>
      <x:c r="H248" s="91" t="str">
        <x:v>无</x:v>
      </x:c>
      <x:c r="I248" s="108" t="n">
        <x:v>40</x:v>
      </x:c>
      <x:c r="J248" s="108" t="n">
        <x:v>44</x:v>
      </x:c>
      <x:c r="K248" s="108" t="n">
        <x:v>44</x:v>
      </x:c>
      <x:c r="L248" s="108" t="n">
        <x:v>44</x:v>
      </x:c>
      <x:c r="M248" s="108" t="str">
        <x:v>沿用建议</x:v>
      </x:c>
      <x:c r="N248" s="108" t="n">
        <x:v>43</x:v>
      </x:c>
      <x:c r="O248" s="108" t="n">
        <x:v>54</x:v>
      </x:c>
      <x:c r="P248" s="108" t="n">
        <x:v>0</x:v>
      </x:c>
      <x:c r="Q248" s="91" t="str">
        <x:v>否</x:v>
      </x:c>
      <x:c r="R248" s="91" t="n">
        <x:v>3</x:v>
      </x:c>
      <x:c r="S248" s="91" t="str">
        <x:v>无</x:v>
      </x:c>
      <x:c r="T248" s="91" t="str">
        <x:v>模拟正常样本</x:v>
      </x:c>
      <x:c r="U248" s="91" t="n">
        <x:f>ABS(L248-N248)</x:f>
        <x:v>1</x:v>
      </x:c>
      <x:c r="V248" s="91" t="str">
        <x:f>IF(L248=K248,"沿用建议","人工调整")</x:f>
        <x:v>沿用建议</x:v>
      </x:c>
      <x:c r="W248" s="92" t="str">
        <x:f>IF(Q248="是","售罄风险",IF(P248&gt;3,"损耗风险","正常"))</x:f>
        <x:v>正常</x:v>
      </x:c>
    </x:row>
    <x:row r="249" ht="20" customHeight="1">
      <x:c r="A249" s="105" t="n">
        <x:v>46208</x:v>
      </x:c>
      <x:c r="B249" s="91" t="str">
        <x:v>模拟店 B（新开门店）</x:v>
      </x:c>
      <x:c r="C249" s="91" t="str">
        <x:v>新店</x:v>
      </x:c>
      <x:c r="D249" s="91" t="str">
        <x:v>筒骨煨藕汤</x:v>
      </x:c>
      <x:c r="E249" s="91" t="str">
        <x:v>晚市</x:v>
      </x:c>
      <x:c r="F249" s="91" t="str">
        <x:v>周末周日</x:v>
      </x:c>
      <x:c r="G249" s="91" t="str">
        <x:v>常温</x:v>
      </x:c>
      <x:c r="H249" s="91" t="str">
        <x:v>无</x:v>
      </x:c>
      <x:c r="I249" s="108" t="n">
        <x:v>60</x:v>
      </x:c>
      <x:c r="J249" s="108" t="n">
        <x:v>67</x:v>
      </x:c>
      <x:c r="K249" s="108" t="n">
        <x:v>67</x:v>
      </x:c>
      <x:c r="L249" s="108" t="n">
        <x:v>67</x:v>
      </x:c>
      <x:c r="M249" s="108" t="str">
        <x:v>沿用建议</x:v>
      </x:c>
      <x:c r="N249" s="108" t="n">
        <x:v>66</x:v>
      </x:c>
      <x:c r="O249" s="108" t="n">
        <x:v>80</x:v>
      </x:c>
      <x:c r="P249" s="108" t="n">
        <x:v>0</x:v>
      </x:c>
      <x:c r="Q249" s="91" t="str">
        <x:v>否</x:v>
      </x:c>
      <x:c r="R249" s="91" t="n">
        <x:v>1</x:v>
      </x:c>
      <x:c r="S249" s="91" t="str">
        <x:v>无</x:v>
      </x:c>
      <x:c r="T249" s="91" t="str">
        <x:v>模拟正常样本</x:v>
      </x:c>
      <x:c r="U249" s="91" t="n">
        <x:f>ABS(L249-N249)</x:f>
        <x:v>1</x:v>
      </x:c>
      <x:c r="V249" s="91" t="str">
        <x:f>IF(L249=K249,"沿用建议","人工调整")</x:f>
        <x:v>沿用建议</x:v>
      </x:c>
      <x:c r="W249" s="92" t="str">
        <x:f>IF(Q249="是","售罄风险",IF(P249&gt;3,"损耗风险","正常"))</x:f>
        <x:v>正常</x:v>
      </x:c>
    </x:row>
    <x:row r="250" ht="20" customHeight="1">
      <x:c r="A250" s="105" t="n">
        <x:v>46208</x:v>
      </x:c>
      <x:c r="B250" s="91" t="str">
        <x:v>模拟店 B（新开门店）</x:v>
      </x:c>
      <x:c r="C250" s="91" t="str">
        <x:v>新店</x:v>
      </x:c>
      <x:c r="D250" s="91" t="str">
        <x:v>粉蒸排骨</x:v>
      </x:c>
      <x:c r="E250" s="91" t="str">
        <x:v>晚市</x:v>
      </x:c>
      <x:c r="F250" s="91" t="str">
        <x:v>周末周日</x:v>
      </x:c>
      <x:c r="G250" s="91" t="str">
        <x:v>常温</x:v>
      </x:c>
      <x:c r="H250" s="91" t="str">
        <x:v>无</x:v>
      </x:c>
      <x:c r="I250" s="108" t="n">
        <x:v>34</x:v>
      </x:c>
      <x:c r="J250" s="108" t="n">
        <x:v>38</x:v>
      </x:c>
      <x:c r="K250" s="108" t="n">
        <x:v>38</x:v>
      </x:c>
      <x:c r="L250" s="108" t="n">
        <x:v>38</x:v>
      </x:c>
      <x:c r="M250" s="108" t="str">
        <x:v>沿用建议</x:v>
      </x:c>
      <x:c r="N250" s="108" t="n">
        <x:v>33</x:v>
      </x:c>
      <x:c r="O250" s="108" t="n">
        <x:v>50</x:v>
      </x:c>
      <x:c r="P250" s="108" t="n">
        <x:v>3</x:v>
      </x:c>
      <x:c r="Q250" s="91" t="str">
        <x:v>否</x:v>
      </x:c>
      <x:c r="R250" s="91" t="n">
        <x:v>3</x:v>
      </x:c>
      <x:c r="S250" s="91" t="str">
        <x:v>无</x:v>
      </x:c>
      <x:c r="T250" s="91" t="str">
        <x:v>模拟正常样本</x:v>
      </x:c>
      <x:c r="U250" s="91" t="n">
        <x:f>ABS(L250-N250)</x:f>
        <x:v>5</x:v>
      </x:c>
      <x:c r="V250" s="91" t="str">
        <x:f>IF(L250=K250,"沿用建议","人工调整")</x:f>
        <x:v>沿用建议</x:v>
      </x:c>
      <x:c r="W250" s="92" t="str">
        <x:f>IF(Q250="是","售罄风险",IF(P250&gt;3,"损耗风险","正常"))</x:f>
        <x:v>正常</x:v>
      </x:c>
    </x:row>
    <x:row r="251" ht="20" customHeight="1">
      <x:c r="A251" s="105" t="n">
        <x:v>46208</x:v>
      </x:c>
      <x:c r="B251" s="91" t="str">
        <x:v>模拟店 B（新开门店）</x:v>
      </x:c>
      <x:c r="C251" s="91" t="str">
        <x:v>新店</x:v>
      </x:c>
      <x:c r="D251" s="91" t="str">
        <x:v>桂花糖藕</x:v>
      </x:c>
      <x:c r="E251" s="91" t="str">
        <x:v>晚市</x:v>
      </x:c>
      <x:c r="F251" s="91" t="str">
        <x:v>周末周日</x:v>
      </x:c>
      <x:c r="G251" s="91" t="str">
        <x:v>常温</x:v>
      </x:c>
      <x:c r="H251" s="91" t="str">
        <x:v>无</x:v>
      </x:c>
      <x:c r="I251" s="108" t="n">
        <x:v>24</x:v>
      </x:c>
      <x:c r="J251" s="108" t="n">
        <x:v>28</x:v>
      </x:c>
      <x:c r="K251" s="108" t="n">
        <x:v>28</x:v>
      </x:c>
      <x:c r="L251" s="108" t="n">
        <x:v>31</x:v>
      </x:c>
      <x:c r="M251" s="108" t="str">
        <x:v>商圈活动临时变化</x:v>
      </x:c>
      <x:c r="N251" s="108" t="n">
        <x:v>23</x:v>
      </x:c>
      <x:c r="O251" s="108" t="n">
        <x:v>42</x:v>
      </x:c>
      <x:c r="P251" s="108" t="n">
        <x:v>7</x:v>
      </x:c>
      <x:c r="Q251" s="91" t="str">
        <x:v>否</x:v>
      </x:c>
      <x:c r="R251" s="91" t="n">
        <x:v>1</x:v>
      </x:c>
      <x:c r="S251" s="91" t="str">
        <x:v>无</x:v>
      </x:c>
      <x:c r="T251" s="91" t="str">
        <x:v>模拟正常样本</x:v>
      </x:c>
      <x:c r="U251" s="91" t="n">
        <x:f>ABS(L251-N251)</x:f>
        <x:v>8</x:v>
      </x:c>
      <x:c r="V251" s="91" t="str">
        <x:f>IF(L251=K251,"沿用建议","人工调整")</x:f>
        <x:v>人工调整</x:v>
      </x:c>
      <x:c r="W251" s="92" t="str">
        <x:f>IF(Q251="是","售罄风险",IF(P251&gt;3,"损耗风险","正常"))</x:f>
        <x:v>损耗风险</x:v>
      </x:c>
    </x:row>
    <x:row r="252" ht="20" customHeight="1">
      <x:c r="A252" s="105" t="n">
        <x:v>46208</x:v>
      </x:c>
      <x:c r="B252" s="91" t="str">
        <x:v>模拟店 B（新开门店）</x:v>
      </x:c>
      <x:c r="C252" s="91" t="str">
        <x:v>新店</x:v>
      </x:c>
      <x:c r="D252" s="91" t="str">
        <x:v>藕夹</x:v>
      </x:c>
      <x:c r="E252" s="91" t="str">
        <x:v>晚市</x:v>
      </x:c>
      <x:c r="F252" s="91" t="str">
        <x:v>周末周日</x:v>
      </x:c>
      <x:c r="G252" s="91" t="str">
        <x:v>常温</x:v>
      </x:c>
      <x:c r="H252" s="91" t="str">
        <x:v>无</x:v>
      </x:c>
      <x:c r="I252" s="108" t="n">
        <x:v>28</x:v>
      </x:c>
      <x:c r="J252" s="108" t="n">
        <x:v>32</x:v>
      </x:c>
      <x:c r="K252" s="108" t="n">
        <x:v>32</x:v>
      </x:c>
      <x:c r="L252" s="108" t="n">
        <x:v>32</x:v>
      </x:c>
      <x:c r="M252" s="108" t="str">
        <x:v>沿用建议</x:v>
      </x:c>
      <x:c r="N252" s="108" t="n">
        <x:v>30</x:v>
      </x:c>
      <x:c r="O252" s="108" t="n">
        <x:v>47</x:v>
      </x:c>
      <x:c r="P252" s="108" t="n">
        <x:v>0</x:v>
      </x:c>
      <x:c r="Q252" s="91" t="str">
        <x:v>否</x:v>
      </x:c>
      <x:c r="R252" s="91" t="n">
        <x:v>1</x:v>
      </x:c>
      <x:c r="S252" s="91" t="str">
        <x:v>无</x:v>
      </x:c>
      <x:c r="T252" s="91" t="str">
        <x:v>模拟正常样本</x:v>
      </x:c>
      <x:c r="U252" s="91" t="n">
        <x:f>ABS(L252-N252)</x:f>
        <x:v>2</x:v>
      </x:c>
      <x:c r="V252" s="91" t="str">
        <x:f>IF(L252=K252,"沿用建议","人工调整")</x:f>
        <x:v>沿用建议</x:v>
      </x:c>
      <x:c r="W252" s="92" t="str">
        <x:f>IF(Q252="是","售罄风险",IF(P252&gt;3,"损耗风险","正常"))</x:f>
        <x:v>正常</x:v>
      </x:c>
    </x:row>
    <x:row r="253" ht="20" customHeight="1">
      <x:c r="A253" s="105" t="n">
        <x:v>46208</x:v>
      </x:c>
      <x:c r="B253" s="91" t="str">
        <x:v>模拟店 C（社区门店）</x:v>
      </x:c>
      <x:c r="C253" s="91" t="str">
        <x:v>成长期</x:v>
      </x:c>
      <x:c r="D253" s="91" t="str">
        <x:v>筒骨煨藕汤</x:v>
      </x:c>
      <x:c r="E253" s="91" t="str">
        <x:v>晚市</x:v>
      </x:c>
      <x:c r="F253" s="91" t="str">
        <x:v>周末周日</x:v>
      </x:c>
      <x:c r="G253" s="91" t="str">
        <x:v>降温</x:v>
      </x:c>
      <x:c r="H253" s="91" t="str">
        <x:v>无</x:v>
      </x:c>
      <x:c r="I253" s="108" t="n">
        <x:v>73</x:v>
      </x:c>
      <x:c r="J253" s="108" t="n">
        <x:v>82</x:v>
      </x:c>
      <x:c r="K253" s="108" t="n">
        <x:v>82</x:v>
      </x:c>
      <x:c r="L253" s="108" t="n">
        <x:v>82</x:v>
      </x:c>
      <x:c r="M253" s="108" t="str">
        <x:v>沿用建议</x:v>
      </x:c>
      <x:c r="N253" s="108" t="n">
        <x:v>72</x:v>
      </x:c>
      <x:c r="O253" s="108" t="n">
        <x:v>95</x:v>
      </x:c>
      <x:c r="P253" s="108" t="n">
        <x:v>8</x:v>
      </x:c>
      <x:c r="Q253" s="91" t="str">
        <x:v>否</x:v>
      </x:c>
      <x:c r="R253" s="91" t="n">
        <x:v>2</x:v>
      </x:c>
      <x:c r="S253" s="91" t="str">
        <x:v>无</x:v>
      </x:c>
      <x:c r="T253" s="91" t="str">
        <x:v>模拟正常样本</x:v>
      </x:c>
      <x:c r="U253" s="91" t="n">
        <x:f>ABS(L253-N253)</x:f>
        <x:v>10</x:v>
      </x:c>
      <x:c r="V253" s="91" t="str">
        <x:f>IF(L253=K253,"沿用建议","人工调整")</x:f>
        <x:v>沿用建议</x:v>
      </x:c>
      <x:c r="W253" s="92" t="str">
        <x:f>IF(Q253="是","售罄风险",IF(P253&gt;3,"损耗风险","正常"))</x:f>
        <x:v>损耗风险</x:v>
      </x:c>
    </x:row>
    <x:row r="254" ht="20" customHeight="1">
      <x:c r="A254" s="105" t="n">
        <x:v>46208</x:v>
      </x:c>
      <x:c r="B254" s="91" t="str">
        <x:v>模拟店 C（社区门店）</x:v>
      </x:c>
      <x:c r="C254" s="91" t="str">
        <x:v>成长期</x:v>
      </x:c>
      <x:c r="D254" s="91" t="str">
        <x:v>粉蒸排骨</x:v>
      </x:c>
      <x:c r="E254" s="91" t="str">
        <x:v>晚市</x:v>
      </x:c>
      <x:c r="F254" s="91" t="str">
        <x:v>周末周日</x:v>
      </x:c>
      <x:c r="G254" s="91" t="str">
        <x:v>降温</x:v>
      </x:c>
      <x:c r="H254" s="91" t="str">
        <x:v>无</x:v>
      </x:c>
      <x:c r="I254" s="108" t="n">
        <x:v>38</x:v>
      </x:c>
      <x:c r="J254" s="108" t="n">
        <x:v>42</x:v>
      </x:c>
      <x:c r="K254" s="108" t="n">
        <x:v>42</x:v>
      </x:c>
      <x:c r="L254" s="108" t="n">
        <x:v>42</x:v>
      </x:c>
      <x:c r="M254" s="108" t="str">
        <x:v>沿用建议</x:v>
      </x:c>
      <x:c r="N254" s="108" t="n">
        <x:v>34</x:v>
      </x:c>
      <x:c r="O254" s="108" t="n">
        <x:v>55</x:v>
      </x:c>
      <x:c r="P254" s="108" t="n">
        <x:v>6</x:v>
      </x:c>
      <x:c r="Q254" s="91" t="str">
        <x:v>否</x:v>
      </x:c>
      <x:c r="R254" s="91" t="n">
        <x:v>1</x:v>
      </x:c>
      <x:c r="S254" s="91" t="str">
        <x:v>无</x:v>
      </x:c>
      <x:c r="T254" s="91" t="str">
        <x:v>模拟正常样本</x:v>
      </x:c>
      <x:c r="U254" s="91" t="n">
        <x:f>ABS(L254-N254)</x:f>
        <x:v>8</x:v>
      </x:c>
      <x:c r="V254" s="91" t="str">
        <x:f>IF(L254=K254,"沿用建议","人工调整")</x:f>
        <x:v>沿用建议</x:v>
      </x:c>
      <x:c r="W254" s="92" t="str">
        <x:f>IF(Q254="是","售罄风险",IF(P254&gt;3,"损耗风险","正常"))</x:f>
        <x:v>损耗风险</x:v>
      </x:c>
    </x:row>
    <x:row r="255" ht="20" customHeight="1">
      <x:c r="A255" s="105" t="n">
        <x:v>46208</x:v>
      </x:c>
      <x:c r="B255" s="91" t="str">
        <x:v>模拟店 C（社区门店）</x:v>
      </x:c>
      <x:c r="C255" s="91" t="str">
        <x:v>成长期</x:v>
      </x:c>
      <x:c r="D255" s="91" t="str">
        <x:v>桂花糖藕</x:v>
      </x:c>
      <x:c r="E255" s="91" t="str">
        <x:v>晚市</x:v>
      </x:c>
      <x:c r="F255" s="91" t="str">
        <x:v>周末周日</x:v>
      </x:c>
      <x:c r="G255" s="91" t="str">
        <x:v>降温</x:v>
      </x:c>
      <x:c r="H255" s="91" t="str">
        <x:v>无</x:v>
      </x:c>
      <x:c r="I255" s="108" t="n">
        <x:v>27</x:v>
      </x:c>
      <x:c r="J255" s="108" t="n">
        <x:v>31</x:v>
      </x:c>
      <x:c r="K255" s="108" t="n">
        <x:v>31</x:v>
      </x:c>
      <x:c r="L255" s="108" t="n">
        <x:v>31</x:v>
      </x:c>
      <x:c r="M255" s="108" t="str">
        <x:v>沿用建议</x:v>
      </x:c>
      <x:c r="N255" s="108" t="n">
        <x:v>30</x:v>
      </x:c>
      <x:c r="O255" s="108" t="n">
        <x:v>43</x:v>
      </x:c>
      <x:c r="P255" s="108" t="n">
        <x:v>0</x:v>
      </x:c>
      <x:c r="Q255" s="91" t="str">
        <x:v>否</x:v>
      </x:c>
      <x:c r="R255" s="91" t="n">
        <x:v>1</x:v>
      </x:c>
      <x:c r="S255" s="91" t="str">
        <x:v>无</x:v>
      </x:c>
      <x:c r="T255" s="91" t="str">
        <x:v>模拟正常样本</x:v>
      </x:c>
      <x:c r="U255" s="91" t="n">
        <x:f>ABS(L255-N255)</x:f>
        <x:v>1</x:v>
      </x:c>
      <x:c r="V255" s="91" t="str">
        <x:f>IF(L255=K255,"沿用建议","人工调整")</x:f>
        <x:v>沿用建议</x:v>
      </x:c>
      <x:c r="W255" s="92" t="str">
        <x:f>IF(Q255="是","售罄风险",IF(P255&gt;3,"损耗风险","正常"))</x:f>
        <x:v>正常</x:v>
      </x:c>
    </x:row>
    <x:row r="256" ht="20" customHeight="1">
      <x:c r="A256" s="105" t="n">
        <x:v>46208</x:v>
      </x:c>
      <x:c r="B256" s="91" t="str">
        <x:v>模拟店 C（社区门店）</x:v>
      </x:c>
      <x:c r="C256" s="91" t="str">
        <x:v>成长期</x:v>
      </x:c>
      <x:c r="D256" s="91" t="str">
        <x:v>藕夹</x:v>
      </x:c>
      <x:c r="E256" s="91" t="str">
        <x:v>晚市</x:v>
      </x:c>
      <x:c r="F256" s="91" t="str">
        <x:v>周末周日</x:v>
      </x:c>
      <x:c r="G256" s="91" t="str">
        <x:v>降温</x:v>
      </x:c>
      <x:c r="H256" s="91" t="str">
        <x:v>无</x:v>
      </x:c>
      <x:c r="I256" s="108" t="n">
        <x:v>32</x:v>
      </x:c>
      <x:c r="J256" s="108" t="n">
        <x:v>36</x:v>
      </x:c>
      <x:c r="K256" s="108" t="n">
        <x:v>36</x:v>
      </x:c>
      <x:c r="L256" s="108" t="n">
        <x:v>36</x:v>
      </x:c>
      <x:c r="M256" s="108" t="str">
        <x:v>沿用建议</x:v>
      </x:c>
      <x:c r="N256" s="108" t="n">
        <x:v>30</x:v>
      </x:c>
      <x:c r="O256" s="108" t="n">
        <x:v>46</x:v>
      </x:c>
      <x:c r="P256" s="108" t="n">
        <x:v>4</x:v>
      </x:c>
      <x:c r="Q256" s="91" t="str">
        <x:v>否</x:v>
      </x:c>
      <x:c r="R256" s="91" t="n">
        <x:v>1</x:v>
      </x:c>
      <x:c r="S256" s="91" t="str">
        <x:v>无</x:v>
      </x:c>
      <x:c r="T256" s="91" t="str">
        <x:v>模拟正常样本</x:v>
      </x:c>
      <x:c r="U256" s="91" t="n">
        <x:f>ABS(L256-N256)</x:f>
        <x:v>6</x:v>
      </x:c>
      <x:c r="V256" s="91" t="str">
        <x:f>IF(L256=K256,"沿用建议","人工调整")</x:f>
        <x:v>沿用建议</x:v>
      </x:c>
      <x:c r="W256" s="92" t="str">
        <x:f>IF(Q256="是","售罄风险",IF(P256&gt;3,"损耗风险","正常"))</x:f>
        <x:v>损耗风险</x:v>
      </x:c>
    </x:row>
    <x:row r="257" ht="20" customHeight="1">
      <x:c r="A257" s="105" t="n">
        <x:v>46209</x:v>
      </x:c>
      <x:c r="B257" s="91" t="str">
        <x:v>模拟店 A（成熟商圈）</x:v>
      </x:c>
      <x:c r="C257" s="91" t="str">
        <x:v>成熟店</x:v>
      </x:c>
      <x:c r="D257" s="91" t="str">
        <x:v>筒骨煨藕汤</x:v>
      </x:c>
      <x:c r="E257" s="91" t="str">
        <x:v>晚市</x:v>
      </x:c>
      <x:c r="F257" s="91" t="str">
        <x:v>工作日周一</x:v>
      </x:c>
      <x:c r="G257" s="91" t="str">
        <x:v>常温</x:v>
      </x:c>
      <x:c r="H257" s="91" t="str">
        <x:v>无</x:v>
      </x:c>
      <x:c r="I257" s="108" t="n">
        <x:v>69</x:v>
      </x:c>
      <x:c r="J257" s="108" t="n">
        <x:v>77</x:v>
      </x:c>
      <x:c r="K257" s="108" t="n">
        <x:v>77</x:v>
      </x:c>
      <x:c r="L257" s="108" t="n">
        <x:v>77</x:v>
      </x:c>
      <x:c r="M257" s="108" t="str">
        <x:v>沿用建议</x:v>
      </x:c>
      <x:c r="N257" s="108" t="n">
        <x:v>74</x:v>
      </x:c>
      <x:c r="O257" s="108" t="n">
        <x:v>86</x:v>
      </x:c>
      <x:c r="P257" s="108" t="n">
        <x:v>1</x:v>
      </x:c>
      <x:c r="Q257" s="91" t="str">
        <x:v>否</x:v>
      </x:c>
      <x:c r="R257" s="91" t="n">
        <x:v>2</x:v>
      </x:c>
      <x:c r="S257" s="91" t="str">
        <x:v>无</x:v>
      </x:c>
      <x:c r="T257" s="91" t="str">
        <x:v>模拟正常样本</x:v>
      </x:c>
      <x:c r="U257" s="91" t="n">
        <x:f>ABS(L257-N257)</x:f>
        <x:v>3</x:v>
      </x:c>
      <x:c r="V257" s="91" t="str">
        <x:f>IF(L257=K257,"沿用建议","人工调整")</x:f>
        <x:v>沿用建议</x:v>
      </x:c>
      <x:c r="W257" s="92" t="str">
        <x:f>IF(Q257="是","售罄风险",IF(P257&gt;3,"损耗风险","正常"))</x:f>
        <x:v>正常</x:v>
      </x:c>
    </x:row>
    <x:row r="258" ht="20" customHeight="1">
      <x:c r="A258" s="105" t="n">
        <x:v>46209</x:v>
      </x:c>
      <x:c r="B258" s="91" t="str">
        <x:v>模拟店 A（成熟商圈）</x:v>
      </x:c>
      <x:c r="C258" s="91" t="str">
        <x:v>成熟店</x:v>
      </x:c>
      <x:c r="D258" s="91" t="str">
        <x:v>粉蒸排骨</x:v>
      </x:c>
      <x:c r="E258" s="91" t="str">
        <x:v>晚市</x:v>
      </x:c>
      <x:c r="F258" s="91" t="str">
        <x:v>工作日周一</x:v>
      </x:c>
      <x:c r="G258" s="91" t="str">
        <x:v>常温</x:v>
      </x:c>
      <x:c r="H258" s="91" t="str">
        <x:v>无</x:v>
      </x:c>
      <x:c r="I258" s="108" t="n">
        <x:v>42</x:v>
      </x:c>
      <x:c r="J258" s="108" t="n">
        <x:v>46</x:v>
      </x:c>
      <x:c r="K258" s="108" t="n">
        <x:v>46</x:v>
      </x:c>
      <x:c r="L258" s="108" t="n">
        <x:v>46</x:v>
      </x:c>
      <x:c r="M258" s="108" t="str">
        <x:v>沿用建议</x:v>
      </x:c>
      <x:c r="N258" s="108" t="n">
        <x:v>42</x:v>
      </x:c>
      <x:c r="O258" s="108" t="n">
        <x:v>61</x:v>
      </x:c>
      <x:c r="P258" s="108" t="n">
        <x:v>2</x:v>
      </x:c>
      <x:c r="Q258" s="91" t="str">
        <x:v>否</x:v>
      </x:c>
      <x:c r="R258" s="91" t="n">
        <x:v>1</x:v>
      </x:c>
      <x:c r="S258" s="91" t="str">
        <x:v>无</x:v>
      </x:c>
      <x:c r="T258" s="91" t="str">
        <x:v>模拟正常样本</x:v>
      </x:c>
      <x:c r="U258" s="91" t="n">
        <x:f>ABS(L258-N258)</x:f>
        <x:v>4</x:v>
      </x:c>
      <x:c r="V258" s="91" t="str">
        <x:f>IF(L258=K258,"沿用建议","人工调整")</x:f>
        <x:v>沿用建议</x:v>
      </x:c>
      <x:c r="W258" s="92" t="str">
        <x:f>IF(Q258="是","售罄风险",IF(P258&gt;3,"损耗风险","正常"))</x:f>
        <x:v>正常</x:v>
      </x:c>
    </x:row>
    <x:row r="259" ht="20" customHeight="1">
      <x:c r="A259" s="105" t="n">
        <x:v>46209</x:v>
      </x:c>
      <x:c r="B259" s="91" t="str">
        <x:v>模拟店 A（成熟商圈）</x:v>
      </x:c>
      <x:c r="C259" s="91" t="str">
        <x:v>成熟店</x:v>
      </x:c>
      <x:c r="D259" s="91" t="str">
        <x:v>桂花糖藕</x:v>
      </x:c>
      <x:c r="E259" s="91" t="str">
        <x:v>晚市</x:v>
      </x:c>
      <x:c r="F259" s="91" t="str">
        <x:v>工作日周一</x:v>
      </x:c>
      <x:c r="G259" s="91" t="str">
        <x:v>常温</x:v>
      </x:c>
      <x:c r="H259" s="91" t="str">
        <x:v>无</x:v>
      </x:c>
      <x:c r="I259" s="108" t="n">
        <x:v>28</x:v>
      </x:c>
      <x:c r="J259" s="108" t="n">
        <x:v>32</x:v>
      </x:c>
      <x:c r="K259" s="108" t="n">
        <x:v>32</x:v>
      </x:c>
      <x:c r="L259" s="108" t="n">
        <x:v>32</x:v>
      </x:c>
      <x:c r="M259" s="108" t="str">
        <x:v>沿用建议</x:v>
      </x:c>
      <x:c r="N259" s="108" t="n">
        <x:v>27</x:v>
      </x:c>
      <x:c r="O259" s="108" t="n">
        <x:v>46</x:v>
      </x:c>
      <x:c r="P259" s="108" t="n">
        <x:v>4</x:v>
      </x:c>
      <x:c r="Q259" s="91" t="str">
        <x:v>否</x:v>
      </x:c>
      <x:c r="R259" s="91" t="n">
        <x:v>1</x:v>
      </x:c>
      <x:c r="S259" s="91" t="str">
        <x:v>无</x:v>
      </x:c>
      <x:c r="T259" s="91" t="str">
        <x:v>模拟正常样本</x:v>
      </x:c>
      <x:c r="U259" s="91" t="n">
        <x:f>ABS(L259-N259)</x:f>
        <x:v>5</x:v>
      </x:c>
      <x:c r="V259" s="91" t="str">
        <x:f>IF(L259=K259,"沿用建议","人工调整")</x:f>
        <x:v>沿用建议</x:v>
      </x:c>
      <x:c r="W259" s="92" t="str">
        <x:f>IF(Q259="是","售罄风险",IF(P259&gt;3,"损耗风险","正常"))</x:f>
        <x:v>损耗风险</x:v>
      </x:c>
    </x:row>
    <x:row r="260" ht="20" customHeight="1">
      <x:c r="A260" s="105" t="n">
        <x:v>46209</x:v>
      </x:c>
      <x:c r="B260" s="91" t="str">
        <x:v>模拟店 A（成熟商圈）</x:v>
      </x:c>
      <x:c r="C260" s="91" t="str">
        <x:v>成熟店</x:v>
      </x:c>
      <x:c r="D260" s="91" t="str">
        <x:v>藕夹</x:v>
      </x:c>
      <x:c r="E260" s="91" t="str">
        <x:v>晚市</x:v>
      </x:c>
      <x:c r="F260" s="91" t="str">
        <x:v>工作日周一</x:v>
      </x:c>
      <x:c r="G260" s="91" t="str">
        <x:v>常温</x:v>
      </x:c>
      <x:c r="H260" s="91" t="str">
        <x:v>无</x:v>
      </x:c>
      <x:c r="I260" s="108" t="n">
        <x:v>34</x:v>
      </x:c>
      <x:c r="J260" s="108" t="n">
        <x:v>38</x:v>
      </x:c>
      <x:c r="K260" s="108" t="n">
        <x:v>38</x:v>
      </x:c>
      <x:c r="L260" s="108" t="n">
        <x:v>38</x:v>
      </x:c>
      <x:c r="M260" s="108" t="str">
        <x:v>沿用建议</x:v>
      </x:c>
      <x:c r="N260" s="108" t="n">
        <x:v>37</x:v>
      </x:c>
      <x:c r="O260" s="108" t="n">
        <x:v>48</x:v>
      </x:c>
      <x:c r="P260" s="108" t="n">
        <x:v>0</x:v>
      </x:c>
      <x:c r="Q260" s="91" t="str">
        <x:v>否</x:v>
      </x:c>
      <x:c r="R260" s="91" t="n">
        <x:v>0</x:v>
      </x:c>
      <x:c r="S260" s="91" t="str">
        <x:v>无</x:v>
      </x:c>
      <x:c r="T260" s="91" t="str">
        <x:v>模拟正常样本</x:v>
      </x:c>
      <x:c r="U260" s="91" t="n">
        <x:f>ABS(L260-N260)</x:f>
        <x:v>1</x:v>
      </x:c>
      <x:c r="V260" s="91" t="str">
        <x:f>IF(L260=K260,"沿用建议","人工调整")</x:f>
        <x:v>沿用建议</x:v>
      </x:c>
      <x:c r="W260" s="92" t="str">
        <x:f>IF(Q260="是","售罄风险",IF(P260&gt;3,"损耗风险","正常"))</x:f>
        <x:v>正常</x:v>
      </x:c>
    </x:row>
    <x:row r="261" ht="20" customHeight="1">
      <x:c r="A261" s="105" t="n">
        <x:v>46209</x:v>
      </x:c>
      <x:c r="B261" s="91" t="str">
        <x:v>模拟店 B（新开门店）</x:v>
      </x:c>
      <x:c r="C261" s="91" t="str">
        <x:v>新店</x:v>
      </x:c>
      <x:c r="D261" s="91" t="str">
        <x:v>筒骨煨藕汤</x:v>
      </x:c>
      <x:c r="E261" s="91" t="str">
        <x:v>晚市</x:v>
      </x:c>
      <x:c r="F261" s="91" t="str">
        <x:v>工作日周一</x:v>
      </x:c>
      <x:c r="G261" s="91" t="str">
        <x:v>降温</x:v>
      </x:c>
      <x:c r="H261" s="91" t="str">
        <x:v>无</x:v>
      </x:c>
      <x:c r="I261" s="108" t="n">
        <x:v>60</x:v>
      </x:c>
      <x:c r="J261" s="108" t="n">
        <x:v>67</x:v>
      </x:c>
      <x:c r="K261" s="108" t="n">
        <x:v>67</x:v>
      </x:c>
      <x:c r="L261" s="108" t="n">
        <x:v>67</x:v>
      </x:c>
      <x:c r="M261" s="108" t="str">
        <x:v>沿用建议</x:v>
      </x:c>
      <x:c r="N261" s="108" t="n">
        <x:v>54</x:v>
      </x:c>
      <x:c r="O261" s="108" t="n">
        <x:v>78</x:v>
      </x:c>
      <x:c r="P261" s="108" t="n">
        <x:v>11</x:v>
      </x:c>
      <x:c r="Q261" s="91" t="str">
        <x:v>否</x:v>
      </x:c>
      <x:c r="R261" s="91" t="n">
        <x:v>1</x:v>
      </x:c>
      <x:c r="S261" s="91" t="str">
        <x:v>无</x:v>
      </x:c>
      <x:c r="T261" s="91" t="str">
        <x:v>模拟正常样本</x:v>
      </x:c>
      <x:c r="U261" s="91" t="n">
        <x:f>ABS(L261-N261)</x:f>
        <x:v>13</x:v>
      </x:c>
      <x:c r="V261" s="91" t="str">
        <x:f>IF(L261=K261,"沿用建议","人工调整")</x:f>
        <x:v>沿用建议</x:v>
      </x:c>
      <x:c r="W261" s="92" t="str">
        <x:f>IF(Q261="是","售罄风险",IF(P261&gt;3,"损耗风险","正常"))</x:f>
        <x:v>损耗风险</x:v>
      </x:c>
    </x:row>
    <x:row r="262" ht="20" customHeight="1">
      <x:c r="A262" s="105" t="n">
        <x:v>46209</x:v>
      </x:c>
      <x:c r="B262" s="91" t="str">
        <x:v>模拟店 B（新开门店）</x:v>
      </x:c>
      <x:c r="C262" s="91" t="str">
        <x:v>新店</x:v>
      </x:c>
      <x:c r="D262" s="91" t="str">
        <x:v>粉蒸排骨</x:v>
      </x:c>
      <x:c r="E262" s="91" t="str">
        <x:v>晚市</x:v>
      </x:c>
      <x:c r="F262" s="91" t="str">
        <x:v>工作日周一</x:v>
      </x:c>
      <x:c r="G262" s="91" t="str">
        <x:v>降温</x:v>
      </x:c>
      <x:c r="H262" s="91" t="str">
        <x:v>无</x:v>
      </x:c>
      <x:c r="I262" s="108" t="n">
        <x:v>30</x:v>
      </x:c>
      <x:c r="J262" s="108" t="n">
        <x:v>34</x:v>
      </x:c>
      <x:c r="K262" s="108" t="n">
        <x:v>34</x:v>
      </x:c>
      <x:c r="L262" s="108" t="n">
        <x:v>34</x:v>
      </x:c>
      <x:c r="M262" s="108" t="str">
        <x:v>沿用建议</x:v>
      </x:c>
      <x:c r="N262" s="108" t="n">
        <x:v>29</x:v>
      </x:c>
      <x:c r="O262" s="108" t="n">
        <x:v>48</x:v>
      </x:c>
      <x:c r="P262" s="108" t="n">
        <x:v>3</x:v>
      </x:c>
      <x:c r="Q262" s="91" t="str">
        <x:v>否</x:v>
      </x:c>
      <x:c r="R262" s="91" t="n">
        <x:v>0</x:v>
      </x:c>
      <x:c r="S262" s="91" t="str">
        <x:v>无</x:v>
      </x:c>
      <x:c r="T262" s="91" t="str">
        <x:v>模拟正常样本</x:v>
      </x:c>
      <x:c r="U262" s="91" t="n">
        <x:f>ABS(L262-N262)</x:f>
        <x:v>5</x:v>
      </x:c>
      <x:c r="V262" s="91" t="str">
        <x:f>IF(L262=K262,"沿用建议","人工调整")</x:f>
        <x:v>沿用建议</x:v>
      </x:c>
      <x:c r="W262" s="92" t="str">
        <x:f>IF(Q262="是","售罄风险",IF(P262&gt;3,"损耗风险","正常"))</x:f>
        <x:v>正常</x:v>
      </x:c>
    </x:row>
    <x:row r="263" ht="20" customHeight="1">
      <x:c r="A263" s="105" t="n">
        <x:v>46209</x:v>
      </x:c>
      <x:c r="B263" s="91" t="str">
        <x:v>模拟店 B（新开门店）</x:v>
      </x:c>
      <x:c r="C263" s="91" t="str">
        <x:v>新店</x:v>
      </x:c>
      <x:c r="D263" s="91" t="str">
        <x:v>桂花糖藕</x:v>
      </x:c>
      <x:c r="E263" s="91" t="str">
        <x:v>晚市</x:v>
      </x:c>
      <x:c r="F263" s="91" t="str">
        <x:v>工作日周一</x:v>
      </x:c>
      <x:c r="G263" s="91" t="str">
        <x:v>降温</x:v>
      </x:c>
      <x:c r="H263" s="91" t="str">
        <x:v>无</x:v>
      </x:c>
      <x:c r="I263" s="108" t="n">
        <x:v>21</x:v>
      </x:c>
      <x:c r="J263" s="108" t="n">
        <x:v>25</x:v>
      </x:c>
      <x:c r="K263" s="108" t="n">
        <x:v>25</x:v>
      </x:c>
      <x:c r="L263" s="108" t="n">
        <x:v>25</x:v>
      </x:c>
      <x:c r="M263" s="108" t="str">
        <x:v>沿用建议</x:v>
      </x:c>
      <x:c r="N263" s="108" t="n">
        <x:v>21</x:v>
      </x:c>
      <x:c r="O263" s="108" t="n">
        <x:v>33</x:v>
      </x:c>
      <x:c r="P263" s="108" t="n">
        <x:v>3</x:v>
      </x:c>
      <x:c r="Q263" s="91" t="str">
        <x:v>否</x:v>
      </x:c>
      <x:c r="R263" s="91" t="n">
        <x:v>1</x:v>
      </x:c>
      <x:c r="S263" s="91" t="str">
        <x:v>无</x:v>
      </x:c>
      <x:c r="T263" s="91" t="str">
        <x:v>模拟正常样本</x:v>
      </x:c>
      <x:c r="U263" s="91" t="n">
        <x:f>ABS(L263-N263)</x:f>
        <x:v>4</x:v>
      </x:c>
      <x:c r="V263" s="91" t="str">
        <x:f>IF(L263=K263,"沿用建议","人工调整")</x:f>
        <x:v>沿用建议</x:v>
      </x:c>
      <x:c r="W263" s="92" t="str">
        <x:f>IF(Q263="是","售罄风险",IF(P263&gt;3,"损耗风险","正常"))</x:f>
        <x:v>正常</x:v>
      </x:c>
    </x:row>
    <x:row r="264" ht="20" customHeight="1">
      <x:c r="A264" s="105" t="n">
        <x:v>46209</x:v>
      </x:c>
      <x:c r="B264" s="91" t="str">
        <x:v>模拟店 B（新开门店）</x:v>
      </x:c>
      <x:c r="C264" s="91" t="str">
        <x:v>新店</x:v>
      </x:c>
      <x:c r="D264" s="91" t="str">
        <x:v>藕夹</x:v>
      </x:c>
      <x:c r="E264" s="91" t="str">
        <x:v>晚市</x:v>
      </x:c>
      <x:c r="F264" s="91" t="str">
        <x:v>工作日周一</x:v>
      </x:c>
      <x:c r="G264" s="91" t="str">
        <x:v>降温</x:v>
      </x:c>
      <x:c r="H264" s="91" t="str">
        <x:v>无</x:v>
      </x:c>
      <x:c r="I264" s="108" t="n">
        <x:v>25</x:v>
      </x:c>
      <x:c r="J264" s="108" t="n">
        <x:v>29</x:v>
      </x:c>
      <x:c r="K264" s="108" t="n">
        <x:v>29</x:v>
      </x:c>
      <x:c r="L264" s="108" t="n">
        <x:v>29</x:v>
      </x:c>
      <x:c r="M264" s="108" t="str">
        <x:v>沿用建议</x:v>
      </x:c>
      <x:c r="N264" s="108" t="n">
        <x:v>27</x:v>
      </x:c>
      <x:c r="O264" s="108" t="n">
        <x:v>43</x:v>
      </x:c>
      <x:c r="P264" s="108" t="n">
        <x:v>0</x:v>
      </x:c>
      <x:c r="Q264" s="91" t="str">
        <x:v>否</x:v>
      </x:c>
      <x:c r="R264" s="91" t="n">
        <x:v>3</x:v>
      </x:c>
      <x:c r="S264" s="91" t="str">
        <x:v>无</x:v>
      </x:c>
      <x:c r="T264" s="91" t="str">
        <x:v>模拟正常样本</x:v>
      </x:c>
      <x:c r="U264" s="91" t="n">
        <x:f>ABS(L264-N264)</x:f>
        <x:v>2</x:v>
      </x:c>
      <x:c r="V264" s="91" t="str">
        <x:f>IF(L264=K264,"沿用建议","人工调整")</x:f>
        <x:v>沿用建议</x:v>
      </x:c>
      <x:c r="W264" s="92" t="str">
        <x:f>IF(Q264="是","售罄风险",IF(P264&gt;3,"损耗风险","正常"))</x:f>
        <x:v>正常</x:v>
      </x:c>
    </x:row>
    <x:row r="265" ht="20" customHeight="1">
      <x:c r="A265" s="105" t="n">
        <x:v>46209</x:v>
      </x:c>
      <x:c r="B265" s="91" t="str">
        <x:v>模拟店 C（社区门店）</x:v>
      </x:c>
      <x:c r="C265" s="91" t="str">
        <x:v>成长期</x:v>
      </x:c>
      <x:c r="D265" s="91" t="str">
        <x:v>筒骨煨藕汤</x:v>
      </x:c>
      <x:c r="E265" s="91" t="str">
        <x:v>晚市</x:v>
      </x:c>
      <x:c r="F265" s="91" t="str">
        <x:v>工作日周一</x:v>
      </x:c>
      <x:c r="G265" s="91" t="str">
        <x:v>雨天</x:v>
      </x:c>
      <x:c r="H265" s="91" t="str">
        <x:v>无</x:v>
      </x:c>
      <x:c r="I265" s="108" t="n">
        <x:v>61</x:v>
      </x:c>
      <x:c r="J265" s="108" t="n">
        <x:v>68</x:v>
      </x:c>
      <x:c r="K265" s="108" t="n">
        <x:v>68</x:v>
      </x:c>
      <x:c r="L265" s="108" t="n">
        <x:v>68</x:v>
      </x:c>
      <x:c r="M265" s="108" t="str">
        <x:v>沿用建议</x:v>
      </x:c>
      <x:c r="N265" s="108" t="n">
        <x:v>66</x:v>
      </x:c>
      <x:c r="O265" s="108" t="n">
        <x:v>77</x:v>
      </x:c>
      <x:c r="P265" s="108" t="n">
        <x:v>0</x:v>
      </x:c>
      <x:c r="Q265" s="91" t="str">
        <x:v>否</x:v>
      </x:c>
      <x:c r="R265" s="91" t="n">
        <x:v>0</x:v>
      </x:c>
      <x:c r="S265" s="91" t="str">
        <x:v>无</x:v>
      </x:c>
      <x:c r="T265" s="91" t="str">
        <x:v>模拟正常样本</x:v>
      </x:c>
      <x:c r="U265" s="91" t="n">
        <x:f>ABS(L265-N265)</x:f>
        <x:v>2</x:v>
      </x:c>
      <x:c r="V265" s="91" t="str">
        <x:f>IF(L265=K265,"沿用建议","人工调整")</x:f>
        <x:v>沿用建议</x:v>
      </x:c>
      <x:c r="W265" s="92" t="str">
        <x:f>IF(Q265="是","售罄风险",IF(P265&gt;3,"损耗风险","正常"))</x:f>
        <x:v>正常</x:v>
      </x:c>
    </x:row>
    <x:row r="266" ht="20" customHeight="1">
      <x:c r="A266" s="105" t="n">
        <x:v>46209</x:v>
      </x:c>
      <x:c r="B266" s="91" t="str">
        <x:v>模拟店 C（社区门店）</x:v>
      </x:c>
      <x:c r="C266" s="91" t="str">
        <x:v>成长期</x:v>
      </x:c>
      <x:c r="D266" s="91" t="str">
        <x:v>粉蒸排骨</x:v>
      </x:c>
      <x:c r="E266" s="91" t="str">
        <x:v>晚市</x:v>
      </x:c>
      <x:c r="F266" s="91" t="str">
        <x:v>工作日周一</x:v>
      </x:c>
      <x:c r="G266" s="91" t="str">
        <x:v>雨天</x:v>
      </x:c>
      <x:c r="H266" s="91" t="str">
        <x:v>无</x:v>
      </x:c>
      <x:c r="I266" s="108" t="n">
        <x:v>32</x:v>
      </x:c>
      <x:c r="J266" s="108" t="n">
        <x:v>36</x:v>
      </x:c>
      <x:c r="K266" s="108" t="n">
        <x:v>36</x:v>
      </x:c>
      <x:c r="L266" s="108" t="n">
        <x:v>36</x:v>
      </x:c>
      <x:c r="M266" s="108" t="str">
        <x:v>沿用建议</x:v>
      </x:c>
      <x:c r="N266" s="108" t="n">
        <x:v>30</x:v>
      </x:c>
      <x:c r="O266" s="108" t="n">
        <x:v>49</x:v>
      </x:c>
      <x:c r="P266" s="108" t="n">
        <x:v>4</x:v>
      </x:c>
      <x:c r="Q266" s="91" t="str">
        <x:v>否</x:v>
      </x:c>
      <x:c r="R266" s="91" t="n">
        <x:v>1</x:v>
      </x:c>
      <x:c r="S266" s="91" t="str">
        <x:v>无</x:v>
      </x:c>
      <x:c r="T266" s="91" t="str">
        <x:v>模拟正常样本</x:v>
      </x:c>
      <x:c r="U266" s="91" t="n">
        <x:f>ABS(L266-N266)</x:f>
        <x:v>6</x:v>
      </x:c>
      <x:c r="V266" s="91" t="str">
        <x:f>IF(L266=K266,"沿用建议","人工调整")</x:f>
        <x:v>沿用建议</x:v>
      </x:c>
      <x:c r="W266" s="92" t="str">
        <x:f>IF(Q266="是","售罄风险",IF(P266&gt;3,"损耗风险","正常"))</x:f>
        <x:v>损耗风险</x:v>
      </x:c>
    </x:row>
    <x:row r="267" ht="20" customHeight="1">
      <x:c r="A267" s="105" t="n">
        <x:v>46209</x:v>
      </x:c>
      <x:c r="B267" s="91" t="str">
        <x:v>模拟店 C（社区门店）</x:v>
      </x:c>
      <x:c r="C267" s="91" t="str">
        <x:v>成长期</x:v>
      </x:c>
      <x:c r="D267" s="91" t="str">
        <x:v>桂花糖藕</x:v>
      </x:c>
      <x:c r="E267" s="91" t="str">
        <x:v>晚市</x:v>
      </x:c>
      <x:c r="F267" s="91" t="str">
        <x:v>工作日周一</x:v>
      </x:c>
      <x:c r="G267" s="91" t="str">
        <x:v>雨天</x:v>
      </x:c>
      <x:c r="H267" s="91" t="str">
        <x:v>无</x:v>
      </x:c>
      <x:c r="I267" s="108" t="n">
        <x:v>24</x:v>
      </x:c>
      <x:c r="J267" s="108" t="n">
        <x:v>28</x:v>
      </x:c>
      <x:c r="K267" s="108" t="n">
        <x:v>28</x:v>
      </x:c>
      <x:c r="L267" s="108" t="n">
        <x:v>28</x:v>
      </x:c>
      <x:c r="M267" s="108" t="str">
        <x:v>沿用建议</x:v>
      </x:c>
      <x:c r="N267" s="108" t="n">
        <x:v>26</x:v>
      </x:c>
      <x:c r="O267" s="108" t="n">
        <x:v>41</x:v>
      </x:c>
      <x:c r="P267" s="108" t="n">
        <x:v>1</x:v>
      </x:c>
      <x:c r="Q267" s="91" t="str">
        <x:v>否</x:v>
      </x:c>
      <x:c r="R267" s="91" t="n">
        <x:v>1</x:v>
      </x:c>
      <x:c r="S267" s="91" t="str">
        <x:v>无</x:v>
      </x:c>
      <x:c r="T267" s="91" t="str">
        <x:v>模拟正常样本</x:v>
      </x:c>
      <x:c r="U267" s="91" t="n">
        <x:f>ABS(L267-N267)</x:f>
        <x:v>2</x:v>
      </x:c>
      <x:c r="V267" s="91" t="str">
        <x:f>IF(L267=K267,"沿用建议","人工调整")</x:f>
        <x:v>沿用建议</x:v>
      </x:c>
      <x:c r="W267" s="92" t="str">
        <x:f>IF(Q267="是","售罄风险",IF(P267&gt;3,"损耗风险","正常"))</x:f>
        <x:v>正常</x:v>
      </x:c>
    </x:row>
    <x:row r="268" ht="20" customHeight="1">
      <x:c r="A268" s="105" t="n">
        <x:v>46209</x:v>
      </x:c>
      <x:c r="B268" s="91" t="str">
        <x:v>模拟店 C（社区门店）</x:v>
      </x:c>
      <x:c r="C268" s="91" t="str">
        <x:v>成长期</x:v>
      </x:c>
      <x:c r="D268" s="91" t="str">
        <x:v>藕夹</x:v>
      </x:c>
      <x:c r="E268" s="91" t="str">
        <x:v>晚市</x:v>
      </x:c>
      <x:c r="F268" s="91" t="str">
        <x:v>工作日周一</x:v>
      </x:c>
      <x:c r="G268" s="91" t="str">
        <x:v>雨天</x:v>
      </x:c>
      <x:c r="H268" s="91" t="str">
        <x:v>无</x:v>
      </x:c>
      <x:c r="I268" s="108" t="n">
        <x:v>28</x:v>
      </x:c>
      <x:c r="J268" s="108" t="n">
        <x:v>32</x:v>
      </x:c>
      <x:c r="K268" s="108" t="n">
        <x:v>32</x:v>
      </x:c>
      <x:c r="L268" s="108" t="n">
        <x:v>32</x:v>
      </x:c>
      <x:c r="M268" s="108" t="str">
        <x:v>沿用建议</x:v>
      </x:c>
      <x:c r="N268" s="108" t="n">
        <x:v>26</x:v>
      </x:c>
      <x:c r="O268" s="108" t="n">
        <x:v>40</x:v>
      </x:c>
      <x:c r="P268" s="108" t="n">
        <x:v>4</x:v>
      </x:c>
      <x:c r="Q268" s="91" t="str">
        <x:v>否</x:v>
      </x:c>
      <x:c r="R268" s="91" t="n">
        <x:v>2</x:v>
      </x:c>
      <x:c r="S268" s="91" t="str">
        <x:v>无</x:v>
      </x:c>
      <x:c r="T268" s="91" t="str">
        <x:v>模拟正常样本</x:v>
      </x:c>
      <x:c r="U268" s="91" t="n">
        <x:f>ABS(L268-N268)</x:f>
        <x:v>6</x:v>
      </x:c>
      <x:c r="V268" s="91" t="str">
        <x:f>IF(L268=K268,"沿用建议","人工调整")</x:f>
        <x:v>沿用建议</x:v>
      </x:c>
      <x:c r="W268" s="92" t="str">
        <x:f>IF(Q268="是","售罄风险",IF(P268&gt;3,"损耗风险","正常"))</x:f>
        <x:v>损耗风险</x:v>
      </x:c>
    </x:row>
    <x:row r="269" ht="20" customHeight="1">
      <x:c r="A269" s="105" t="n">
        <x:v>46210</x:v>
      </x:c>
      <x:c r="B269" s="91" t="str">
        <x:v>模拟店 A（成熟商圈）</x:v>
      </x:c>
      <x:c r="C269" s="91" t="str">
        <x:v>成熟店</x:v>
      </x:c>
      <x:c r="D269" s="91" t="str">
        <x:v>筒骨煨藕汤</x:v>
      </x:c>
      <x:c r="E269" s="91" t="str">
        <x:v>晚市</x:v>
      </x:c>
      <x:c r="F269" s="91" t="str">
        <x:v>工作日周二</x:v>
      </x:c>
      <x:c r="G269" s="91" t="str">
        <x:v>降温</x:v>
      </x:c>
      <x:c r="H269" s="91" t="str">
        <x:v>无</x:v>
      </x:c>
      <x:c r="I269" s="108" t="n">
        <x:v>75</x:v>
      </x:c>
      <x:c r="J269" s="108" t="n">
        <x:v>84</x:v>
      </x:c>
      <x:c r="K269" s="108" t="n">
        <x:v>84</x:v>
      </x:c>
      <x:c r="L269" s="108" t="n">
        <x:v>87</x:v>
      </x:c>
      <x:c r="M269" s="108" t="str">
        <x:v>商圈活动临时变化</x:v>
      </x:c>
      <x:c r="N269" s="108" t="n">
        <x:v>79</x:v>
      </x:c>
      <x:c r="O269" s="108" t="n">
        <x:v>93</x:v>
      </x:c>
      <x:c r="P269" s="108" t="n">
        <x:v>6</x:v>
      </x:c>
      <x:c r="Q269" s="91" t="str">
        <x:v>否</x:v>
      </x:c>
      <x:c r="R269" s="91" t="n">
        <x:v>3</x:v>
      </x:c>
      <x:c r="S269" s="91" t="str">
        <x:v>无</x:v>
      </x:c>
      <x:c r="T269" s="91" t="str">
        <x:v>模拟正常样本</x:v>
      </x:c>
      <x:c r="U269" s="91" t="n">
        <x:f>ABS(L269-N269)</x:f>
        <x:v>8</x:v>
      </x:c>
      <x:c r="V269" s="91" t="str">
        <x:f>IF(L269=K269,"沿用建议","人工调整")</x:f>
        <x:v>人工调整</x:v>
      </x:c>
      <x:c r="W269" s="92" t="str">
        <x:f>IF(Q269="是","售罄风险",IF(P269&gt;3,"损耗风险","正常"))</x:f>
        <x:v>损耗风险</x:v>
      </x:c>
    </x:row>
    <x:row r="270" ht="20" customHeight="1">
      <x:c r="A270" s="105" t="n">
        <x:v>46210</x:v>
      </x:c>
      <x:c r="B270" s="91" t="str">
        <x:v>模拟店 A（成熟商圈）</x:v>
      </x:c>
      <x:c r="C270" s="91" t="str">
        <x:v>成熟店</x:v>
      </x:c>
      <x:c r="D270" s="91" t="str">
        <x:v>粉蒸排骨</x:v>
      </x:c>
      <x:c r="E270" s="91" t="str">
        <x:v>晚市</x:v>
      </x:c>
      <x:c r="F270" s="91" t="str">
        <x:v>工作日周二</x:v>
      </x:c>
      <x:c r="G270" s="91" t="str">
        <x:v>降温</x:v>
      </x:c>
      <x:c r="H270" s="91" t="str">
        <x:v>无</x:v>
      </x:c>
      <x:c r="I270" s="108" t="n">
        <x:v>40</x:v>
      </x:c>
      <x:c r="J270" s="108" t="n">
        <x:v>44</x:v>
      </x:c>
      <x:c r="K270" s="108" t="n">
        <x:v>44</x:v>
      </x:c>
      <x:c r="L270" s="108" t="n">
        <x:v>44</x:v>
      </x:c>
      <x:c r="M270" s="108" t="str">
        <x:v>沿用建议</x:v>
      </x:c>
      <x:c r="N270" s="108" t="n">
        <x:v>41</x:v>
      </x:c>
      <x:c r="O270" s="108" t="n">
        <x:v>54</x:v>
      </x:c>
      <x:c r="P270" s="108" t="n">
        <x:v>1</x:v>
      </x:c>
      <x:c r="Q270" s="91" t="str">
        <x:v>否</x:v>
      </x:c>
      <x:c r="R270" s="91" t="n">
        <x:v>2</x:v>
      </x:c>
      <x:c r="S270" s="91" t="str">
        <x:v>无</x:v>
      </x:c>
      <x:c r="T270" s="91" t="str">
        <x:v>模拟正常样本</x:v>
      </x:c>
      <x:c r="U270" s="91" t="n">
        <x:f>ABS(L270-N270)</x:f>
        <x:v>3</x:v>
      </x:c>
      <x:c r="V270" s="91" t="str">
        <x:f>IF(L270=K270,"沿用建议","人工调整")</x:f>
        <x:v>沿用建议</x:v>
      </x:c>
      <x:c r="W270" s="92" t="str">
        <x:f>IF(Q270="是","售罄风险",IF(P270&gt;3,"损耗风险","正常"))</x:f>
        <x:v>正常</x:v>
      </x:c>
    </x:row>
    <x:row r="271" ht="20" customHeight="1">
      <x:c r="A271" s="105" t="n">
        <x:v>46210</x:v>
      </x:c>
      <x:c r="B271" s="91" t="str">
        <x:v>模拟店 A（成熟商圈）</x:v>
      </x:c>
      <x:c r="C271" s="91" t="str">
        <x:v>成熟店</x:v>
      </x:c>
      <x:c r="D271" s="91" t="str">
        <x:v>桂花糖藕</x:v>
      </x:c>
      <x:c r="E271" s="91" t="str">
        <x:v>晚市</x:v>
      </x:c>
      <x:c r="F271" s="91" t="str">
        <x:v>工作日周二</x:v>
      </x:c>
      <x:c r="G271" s="91" t="str">
        <x:v>降温</x:v>
      </x:c>
      <x:c r="H271" s="91" t="str">
        <x:v>无</x:v>
      </x:c>
      <x:c r="I271" s="108" t="n">
        <x:v>29</x:v>
      </x:c>
      <x:c r="J271" s="108" t="n">
        <x:v>33</x:v>
      </x:c>
      <x:c r="K271" s="108" t="n">
        <x:v>33</x:v>
      </x:c>
      <x:c r="L271" s="108" t="n">
        <x:v>33</x:v>
      </x:c>
      <x:c r="M271" s="108" t="str">
        <x:v>沿用建议</x:v>
      </x:c>
      <x:c r="N271" s="108" t="n">
        <x:v>29</x:v>
      </x:c>
      <x:c r="O271" s="108" t="n">
        <x:v>44</x:v>
      </x:c>
      <x:c r="P271" s="108" t="n">
        <x:v>3</x:v>
      </x:c>
      <x:c r="Q271" s="91" t="str">
        <x:v>否</x:v>
      </x:c>
      <x:c r="R271" s="91" t="n">
        <x:v>1</x:v>
      </x:c>
      <x:c r="S271" s="91" t="str">
        <x:v>无</x:v>
      </x:c>
      <x:c r="T271" s="91" t="str">
        <x:v>模拟正常样本</x:v>
      </x:c>
      <x:c r="U271" s="91" t="n">
        <x:f>ABS(L271-N271)</x:f>
        <x:v>4</x:v>
      </x:c>
      <x:c r="V271" s="91" t="str">
        <x:f>IF(L271=K271,"沿用建议","人工调整")</x:f>
        <x:v>沿用建议</x:v>
      </x:c>
      <x:c r="W271" s="92" t="str">
        <x:f>IF(Q271="是","售罄风险",IF(P271&gt;3,"损耗风险","正常"))</x:f>
        <x:v>正常</x:v>
      </x:c>
    </x:row>
    <x:row r="272" ht="20" customHeight="1">
      <x:c r="A272" s="105" t="n">
        <x:v>46210</x:v>
      </x:c>
      <x:c r="B272" s="91" t="str">
        <x:v>模拟店 A（成熟商圈）</x:v>
      </x:c>
      <x:c r="C272" s="91" t="str">
        <x:v>成熟店</x:v>
      </x:c>
      <x:c r="D272" s="91" t="str">
        <x:v>藕夹</x:v>
      </x:c>
      <x:c r="E272" s="91" t="str">
        <x:v>晚市</x:v>
      </x:c>
      <x:c r="F272" s="91" t="str">
        <x:v>工作日周二</x:v>
      </x:c>
      <x:c r="G272" s="91" t="str">
        <x:v>降温</x:v>
      </x:c>
      <x:c r="H272" s="91" t="str">
        <x:v>无</x:v>
      </x:c>
      <x:c r="I272" s="108" t="n">
        <x:v>35</x:v>
      </x:c>
      <x:c r="J272" s="108" t="n">
        <x:v>39</x:v>
      </x:c>
      <x:c r="K272" s="108" t="n">
        <x:v>39</x:v>
      </x:c>
      <x:c r="L272" s="108" t="n">
        <x:v>39</x:v>
      </x:c>
      <x:c r="M272" s="108" t="str">
        <x:v>沿用建议</x:v>
      </x:c>
      <x:c r="N272" s="108" t="n">
        <x:v>34</x:v>
      </x:c>
      <x:c r="O272" s="108" t="n">
        <x:v>51</x:v>
      </x:c>
      <x:c r="P272" s="108" t="n">
        <x:v>3</x:v>
      </x:c>
      <x:c r="Q272" s="91" t="str">
        <x:v>否</x:v>
      </x:c>
      <x:c r="R272" s="91" t="n">
        <x:v>3</x:v>
      </x:c>
      <x:c r="S272" s="91" t="str">
        <x:v>无</x:v>
      </x:c>
      <x:c r="T272" s="91" t="str">
        <x:v>模拟正常样本</x:v>
      </x:c>
      <x:c r="U272" s="91" t="n">
        <x:f>ABS(L272-N272)</x:f>
        <x:v>5</x:v>
      </x:c>
      <x:c r="V272" s="91" t="str">
        <x:f>IF(L272=K272,"沿用建议","人工调整")</x:f>
        <x:v>沿用建议</x:v>
      </x:c>
      <x:c r="W272" s="92" t="str">
        <x:f>IF(Q272="是","售罄风险",IF(P272&gt;3,"损耗风险","正常"))</x:f>
        <x:v>正常</x:v>
      </x:c>
    </x:row>
    <x:row r="273" ht="20" customHeight="1">
      <x:c r="A273" s="105" t="n">
        <x:v>46210</x:v>
      </x:c>
      <x:c r="B273" s="91" t="str">
        <x:v>模拟店 B（新开门店）</x:v>
      </x:c>
      <x:c r="C273" s="91" t="str">
        <x:v>新店</x:v>
      </x:c>
      <x:c r="D273" s="91" t="str">
        <x:v>筒骨煨藕汤</x:v>
      </x:c>
      <x:c r="E273" s="91" t="str">
        <x:v>晚市</x:v>
      </x:c>
      <x:c r="F273" s="91" t="str">
        <x:v>工作日周二</x:v>
      </x:c>
      <x:c r="G273" s="91" t="str">
        <x:v>雨天</x:v>
      </x:c>
      <x:c r="H273" s="91" t="str">
        <x:v>无</x:v>
      </x:c>
      <x:c r="I273" s="108" t="n">
        <x:v>56</x:v>
      </x:c>
      <x:c r="J273" s="108" t="n">
        <x:v>63</x:v>
      </x:c>
      <x:c r="K273" s="108" t="n">
        <x:v>63</x:v>
      </x:c>
      <x:c r="L273" s="108" t="n">
        <x:v>63</x:v>
      </x:c>
      <x:c r="M273" s="108" t="str">
        <x:v>沿用建议</x:v>
      </x:c>
      <x:c r="N273" s="108" t="n">
        <x:v>57</x:v>
      </x:c>
      <x:c r="O273" s="108" t="n">
        <x:v>71</x:v>
      </x:c>
      <x:c r="P273" s="108" t="n">
        <x:v>4</x:v>
      </x:c>
      <x:c r="Q273" s="91" t="str">
        <x:v>否</x:v>
      </x:c>
      <x:c r="R273" s="91" t="n">
        <x:v>1</x:v>
      </x:c>
      <x:c r="S273" s="91" t="str">
        <x:v>无</x:v>
      </x:c>
      <x:c r="T273" s="91" t="str">
        <x:v>模拟正常样本</x:v>
      </x:c>
      <x:c r="U273" s="91" t="n">
        <x:f>ABS(L273-N273)</x:f>
        <x:v>6</x:v>
      </x:c>
      <x:c r="V273" s="91" t="str">
        <x:f>IF(L273=K273,"沿用建议","人工调整")</x:f>
        <x:v>沿用建议</x:v>
      </x:c>
      <x:c r="W273" s="92" t="str">
        <x:f>IF(Q273="是","售罄风险",IF(P273&gt;3,"损耗风险","正常"))</x:f>
        <x:v>损耗风险</x:v>
      </x:c>
    </x:row>
    <x:row r="274" ht="20" customHeight="1">
      <x:c r="A274" s="105" t="n">
        <x:v>46210</x:v>
      </x:c>
      <x:c r="B274" s="91" t="str">
        <x:v>模拟店 B（新开门店）</x:v>
      </x:c>
      <x:c r="C274" s="91" t="str">
        <x:v>新店</x:v>
      </x:c>
      <x:c r="D274" s="91" t="str">
        <x:v>粉蒸排骨</x:v>
      </x:c>
      <x:c r="E274" s="91" t="str">
        <x:v>晚市</x:v>
      </x:c>
      <x:c r="F274" s="91" t="str">
        <x:v>工作日周二</x:v>
      </x:c>
      <x:c r="G274" s="91" t="str">
        <x:v>雨天</x:v>
      </x:c>
      <x:c r="H274" s="91" t="str">
        <x:v>无</x:v>
      </x:c>
      <x:c r="I274" s="108" t="n">
        <x:v>28</x:v>
      </x:c>
      <x:c r="J274" s="108" t="n">
        <x:v>31</x:v>
      </x:c>
      <x:c r="K274" s="108" t="n">
        <x:v>31</x:v>
      </x:c>
      <x:c r="L274" s="108" t="n">
        <x:v>31</x:v>
      </x:c>
      <x:c r="M274" s="108" t="str">
        <x:v>沿用建议</x:v>
      </x:c>
      <x:c r="N274" s="108" t="n">
        <x:v>28</x:v>
      </x:c>
      <x:c r="O274" s="108" t="n">
        <x:v>41</x:v>
      </x:c>
      <x:c r="P274" s="108" t="n">
        <x:v>1</x:v>
      </x:c>
      <x:c r="Q274" s="91" t="str">
        <x:v>否</x:v>
      </x:c>
      <x:c r="R274" s="91" t="n">
        <x:v>1</x:v>
      </x:c>
      <x:c r="S274" s="91" t="str">
        <x:v>无</x:v>
      </x:c>
      <x:c r="T274" s="91" t="str">
        <x:v>模拟正常样本</x:v>
      </x:c>
      <x:c r="U274" s="91" t="n">
        <x:f>ABS(L274-N274)</x:f>
        <x:v>3</x:v>
      </x:c>
      <x:c r="V274" s="91" t="str">
        <x:f>IF(L274=K274,"沿用建议","人工调整")</x:f>
        <x:v>沿用建议</x:v>
      </x:c>
      <x:c r="W274" s="92" t="str">
        <x:f>IF(Q274="是","售罄风险",IF(P274&gt;3,"损耗风险","正常"))</x:f>
        <x:v>正常</x:v>
      </x:c>
    </x:row>
    <x:row r="275" ht="20" customHeight="1">
      <x:c r="A275" s="105" t="n">
        <x:v>46210</x:v>
      </x:c>
      <x:c r="B275" s="91" t="str">
        <x:v>模拟店 B（新开门店）</x:v>
      </x:c>
      <x:c r="C275" s="91" t="str">
        <x:v>新店</x:v>
      </x:c>
      <x:c r="D275" s="91" t="str">
        <x:v>桂花糖藕</x:v>
      </x:c>
      <x:c r="E275" s="91" t="str">
        <x:v>晚市</x:v>
      </x:c>
      <x:c r="F275" s="91" t="str">
        <x:v>工作日周二</x:v>
      </x:c>
      <x:c r="G275" s="91" t="str">
        <x:v>雨天</x:v>
      </x:c>
      <x:c r="H275" s="91" t="str">
        <x:v>无</x:v>
      </x:c>
      <x:c r="I275" s="108" t="n">
        <x:v>20</x:v>
      </x:c>
      <x:c r="J275" s="108" t="n">
        <x:v>24</x:v>
      </x:c>
      <x:c r="K275" s="108" t="n">
        <x:v>24</x:v>
      </x:c>
      <x:c r="L275" s="108" t="n">
        <x:v>24</x:v>
      </x:c>
      <x:c r="M275" s="108" t="str">
        <x:v>沿用建议</x:v>
      </x:c>
      <x:c r="N275" s="108" t="n">
        <x:v>19</x:v>
      </x:c>
      <x:c r="O275" s="108" t="n">
        <x:v>34</x:v>
      </x:c>
      <x:c r="P275" s="108" t="n">
        <x:v>4</x:v>
      </x:c>
      <x:c r="Q275" s="91" t="str">
        <x:v>否</x:v>
      </x:c>
      <x:c r="R275" s="91" t="n">
        <x:v>1</x:v>
      </x:c>
      <x:c r="S275" s="91" t="str">
        <x:v>无</x:v>
      </x:c>
      <x:c r="T275" s="91" t="str">
        <x:v>模拟正常样本</x:v>
      </x:c>
      <x:c r="U275" s="91" t="n">
        <x:f>ABS(L275-N275)</x:f>
        <x:v>5</x:v>
      </x:c>
      <x:c r="V275" s="91" t="str">
        <x:f>IF(L275=K275,"沿用建议","人工调整")</x:f>
        <x:v>沿用建议</x:v>
      </x:c>
      <x:c r="W275" s="92" t="str">
        <x:f>IF(Q275="是","售罄风险",IF(P275&gt;3,"损耗风险","正常"))</x:f>
        <x:v>损耗风险</x:v>
      </x:c>
    </x:row>
    <x:row r="276" ht="20" customHeight="1">
      <x:c r="A276" s="105" t="n">
        <x:v>46210</x:v>
      </x:c>
      <x:c r="B276" s="91" t="str">
        <x:v>模拟店 B（新开门店）</x:v>
      </x:c>
      <x:c r="C276" s="91" t="str">
        <x:v>新店</x:v>
      </x:c>
      <x:c r="D276" s="91" t="str">
        <x:v>藕夹</x:v>
      </x:c>
      <x:c r="E276" s="91" t="str">
        <x:v>晚市</x:v>
      </x:c>
      <x:c r="F276" s="91" t="str">
        <x:v>工作日周二</x:v>
      </x:c>
      <x:c r="G276" s="91" t="str">
        <x:v>雨天</x:v>
      </x:c>
      <x:c r="H276" s="91" t="str">
        <x:v>无</x:v>
      </x:c>
      <x:c r="I276" s="108" t="n">
        <x:v>24</x:v>
      </x:c>
      <x:c r="J276" s="108" t="n">
        <x:v>27</x:v>
      </x:c>
      <x:c r="K276" s="108" t="n">
        <x:v>27</x:v>
      </x:c>
      <x:c r="L276" s="108" t="n">
        <x:v>27</x:v>
      </x:c>
      <x:c r="M276" s="108" t="str">
        <x:v>沿用建议</x:v>
      </x:c>
      <x:c r="N276" s="108" t="n">
        <x:v>23</x:v>
      </x:c>
      <x:c r="O276" s="108" t="n">
        <x:v>41</x:v>
      </x:c>
      <x:c r="P276" s="108" t="n">
        <x:v>2</x:v>
      </x:c>
      <x:c r="Q276" s="91" t="str">
        <x:v>否</x:v>
      </x:c>
      <x:c r="R276" s="91" t="n">
        <x:v>1</x:v>
      </x:c>
      <x:c r="S276" s="91" t="str">
        <x:v>无</x:v>
      </x:c>
      <x:c r="T276" s="91" t="str">
        <x:v>模拟正常样本</x:v>
      </x:c>
      <x:c r="U276" s="91" t="n">
        <x:f>ABS(L276-N276)</x:f>
        <x:v>4</x:v>
      </x:c>
      <x:c r="V276" s="91" t="str">
        <x:f>IF(L276=K276,"沿用建议","人工调整")</x:f>
        <x:v>沿用建议</x:v>
      </x:c>
      <x:c r="W276" s="92" t="str">
        <x:f>IF(Q276="是","售罄风险",IF(P276&gt;3,"损耗风险","正常"))</x:f>
        <x:v>正常</x:v>
      </x:c>
    </x:row>
    <x:row r="277" ht="20" customHeight="1">
      <x:c r="A277" s="105" t="n">
        <x:v>46210</x:v>
      </x:c>
      <x:c r="B277" s="91" t="str">
        <x:v>模拟店 C（社区门店）</x:v>
      </x:c>
      <x:c r="C277" s="91" t="str">
        <x:v>成长期</x:v>
      </x:c>
      <x:c r="D277" s="91" t="str">
        <x:v>筒骨煨藕汤</x:v>
      </x:c>
      <x:c r="E277" s="91" t="str">
        <x:v>晚市</x:v>
      </x:c>
      <x:c r="F277" s="91" t="str">
        <x:v>工作日周二</x:v>
      </x:c>
      <x:c r="G277" s="91" t="str">
        <x:v>常温</x:v>
      </x:c>
      <x:c r="H277" s="91" t="str">
        <x:v>无</x:v>
      </x:c>
      <x:c r="I277" s="108" t="n">
        <x:v>61</x:v>
      </x:c>
      <x:c r="J277" s="108" t="n">
        <x:v>68</x:v>
      </x:c>
      <x:c r="K277" s="108" t="n">
        <x:v>68</x:v>
      </x:c>
      <x:c r="L277" s="108" t="n">
        <x:v>68</x:v>
      </x:c>
      <x:c r="M277" s="108" t="str">
        <x:v>沿用建议</x:v>
      </x:c>
      <x:c r="N277" s="108" t="n">
        <x:v>67</x:v>
      </x:c>
      <x:c r="O277" s="108" t="n">
        <x:v>83</x:v>
      </x:c>
      <x:c r="P277" s="108" t="n">
        <x:v>0</x:v>
      </x:c>
      <x:c r="Q277" s="91" t="str">
        <x:v>否</x:v>
      </x:c>
      <x:c r="R277" s="91" t="n">
        <x:v>2</x:v>
      </x:c>
      <x:c r="S277" s="91" t="str">
        <x:v>无</x:v>
      </x:c>
      <x:c r="T277" s="91" t="str">
        <x:v>模拟正常样本</x:v>
      </x:c>
      <x:c r="U277" s="91" t="n">
        <x:f>ABS(L277-N277)</x:f>
        <x:v>1</x:v>
      </x:c>
      <x:c r="V277" s="91" t="str">
        <x:f>IF(L277=K277,"沿用建议","人工调整")</x:f>
        <x:v>沿用建议</x:v>
      </x:c>
      <x:c r="W277" s="92" t="str">
        <x:f>IF(Q277="是","售罄风险",IF(P277&gt;3,"损耗风险","正常"))</x:f>
        <x:v>正常</x:v>
      </x:c>
    </x:row>
    <x:row r="278" ht="20" customHeight="1">
      <x:c r="A278" s="105" t="n">
        <x:v>46210</x:v>
      </x:c>
      <x:c r="B278" s="91" t="str">
        <x:v>模拟店 C（社区门店）</x:v>
      </x:c>
      <x:c r="C278" s="91" t="str">
        <x:v>成长期</x:v>
      </x:c>
      <x:c r="D278" s="91" t="str">
        <x:v>粉蒸排骨</x:v>
      </x:c>
      <x:c r="E278" s="91" t="str">
        <x:v>晚市</x:v>
      </x:c>
      <x:c r="F278" s="91" t="str">
        <x:v>工作日周二</x:v>
      </x:c>
      <x:c r="G278" s="91" t="str">
        <x:v>常温</x:v>
      </x:c>
      <x:c r="H278" s="91" t="str">
        <x:v>无</x:v>
      </x:c>
      <x:c r="I278" s="108" t="n">
        <x:v>35</x:v>
      </x:c>
      <x:c r="J278" s="108" t="n">
        <x:v>39</x:v>
      </x:c>
      <x:c r="K278" s="108" t="n">
        <x:v>39</x:v>
      </x:c>
      <x:c r="L278" s="108" t="n">
        <x:v>37</x:v>
      </x:c>
      <x:c r="M278" s="108" t="str">
        <x:v>商圈活动临时变化</x:v>
      </x:c>
      <x:c r="N278" s="108" t="n">
        <x:v>34</x:v>
      </x:c>
      <x:c r="O278" s="108" t="n">
        <x:v>47</x:v>
      </x:c>
      <x:c r="P278" s="108" t="n">
        <x:v>1</x:v>
      </x:c>
      <x:c r="Q278" s="91" t="str">
        <x:v>否</x:v>
      </x:c>
      <x:c r="R278" s="91" t="n">
        <x:v>2</x:v>
      </x:c>
      <x:c r="S278" s="91" t="str">
        <x:v>无</x:v>
      </x:c>
      <x:c r="T278" s="91" t="str">
        <x:v>模拟正常样本</x:v>
      </x:c>
      <x:c r="U278" s="91" t="n">
        <x:f>ABS(L278-N278)</x:f>
        <x:v>3</x:v>
      </x:c>
      <x:c r="V278" s="91" t="str">
        <x:f>IF(L278=K278,"沿用建议","人工调整")</x:f>
        <x:v>人工调整</x:v>
      </x:c>
      <x:c r="W278" s="92" t="str">
        <x:f>IF(Q278="是","售罄风险",IF(P278&gt;3,"损耗风险","正常"))</x:f>
        <x:v>正常</x:v>
      </x:c>
    </x:row>
    <x:row r="279" ht="20" customHeight="1">
      <x:c r="A279" s="105" t="n">
        <x:v>46210</x:v>
      </x:c>
      <x:c r="B279" s="91" t="str">
        <x:v>模拟店 C（社区门店）</x:v>
      </x:c>
      <x:c r="C279" s="91" t="str">
        <x:v>成长期</x:v>
      </x:c>
      <x:c r="D279" s="91" t="str">
        <x:v>桂花糖藕</x:v>
      </x:c>
      <x:c r="E279" s="91" t="str">
        <x:v>晚市</x:v>
      </x:c>
      <x:c r="F279" s="91" t="str">
        <x:v>工作日周二</x:v>
      </x:c>
      <x:c r="G279" s="91" t="str">
        <x:v>常温</x:v>
      </x:c>
      <x:c r="H279" s="91" t="str">
        <x:v>无</x:v>
      </x:c>
      <x:c r="I279" s="108" t="n">
        <x:v>24</x:v>
      </x:c>
      <x:c r="J279" s="108" t="n">
        <x:v>28</x:v>
      </x:c>
      <x:c r="K279" s="108" t="n">
        <x:v>28</x:v>
      </x:c>
      <x:c r="L279" s="108" t="n">
        <x:v>28</x:v>
      </x:c>
      <x:c r="M279" s="108" t="str">
        <x:v>沿用建议</x:v>
      </x:c>
      <x:c r="N279" s="108" t="n">
        <x:v>26</x:v>
      </x:c>
      <x:c r="O279" s="108" t="n">
        <x:v>35</x:v>
      </x:c>
      <x:c r="P279" s="108" t="n">
        <x:v>1</x:v>
      </x:c>
      <x:c r="Q279" s="91" t="str">
        <x:v>否</x:v>
      </x:c>
      <x:c r="R279" s="91" t="n">
        <x:v>0</x:v>
      </x:c>
      <x:c r="S279" s="91" t="str">
        <x:v>无</x:v>
      </x:c>
      <x:c r="T279" s="91" t="str">
        <x:v>模拟正常样本</x:v>
      </x:c>
      <x:c r="U279" s="91" t="n">
        <x:f>ABS(L279-N279)</x:f>
        <x:v>2</x:v>
      </x:c>
      <x:c r="V279" s="91" t="str">
        <x:f>IF(L279=K279,"沿用建议","人工调整")</x:f>
        <x:v>沿用建议</x:v>
      </x:c>
      <x:c r="W279" s="92" t="str">
        <x:f>IF(Q279="是","售罄风险",IF(P279&gt;3,"损耗风险","正常"))</x:f>
        <x:v>正常</x:v>
      </x:c>
    </x:row>
    <x:row r="280" ht="20" customHeight="1">
      <x:c r="A280" s="105" t="n">
        <x:v>46210</x:v>
      </x:c>
      <x:c r="B280" s="91" t="str">
        <x:v>模拟店 C（社区门店）</x:v>
      </x:c>
      <x:c r="C280" s="91" t="str">
        <x:v>成长期</x:v>
      </x:c>
      <x:c r="D280" s="91" t="str">
        <x:v>藕夹</x:v>
      </x:c>
      <x:c r="E280" s="91" t="str">
        <x:v>晚市</x:v>
      </x:c>
      <x:c r="F280" s="91" t="str">
        <x:v>工作日周二</x:v>
      </x:c>
      <x:c r="G280" s="91" t="str">
        <x:v>常温</x:v>
      </x:c>
      <x:c r="H280" s="91" t="str">
        <x:v>无</x:v>
      </x:c>
      <x:c r="I280" s="108" t="n">
        <x:v>28</x:v>
      </x:c>
      <x:c r="J280" s="108" t="n">
        <x:v>32</x:v>
      </x:c>
      <x:c r="K280" s="108" t="n">
        <x:v>32</x:v>
      </x:c>
      <x:c r="L280" s="108" t="n">
        <x:v>32</x:v>
      </x:c>
      <x:c r="M280" s="108" t="str">
        <x:v>沿用建议</x:v>
      </x:c>
      <x:c r="N280" s="108" t="n">
        <x:v>26</x:v>
      </x:c>
      <x:c r="O280" s="108" t="n">
        <x:v>41</x:v>
      </x:c>
      <x:c r="P280" s="108" t="n">
        <x:v>4</x:v>
      </x:c>
      <x:c r="Q280" s="91" t="str">
        <x:v>否</x:v>
      </x:c>
      <x:c r="R280" s="91" t="n">
        <x:v>2</x:v>
      </x:c>
      <x:c r="S280" s="91" t="str">
        <x:v>无</x:v>
      </x:c>
      <x:c r="T280" s="91" t="str">
        <x:v>模拟正常样本</x:v>
      </x:c>
      <x:c r="U280" s="91" t="n">
        <x:f>ABS(L280-N280)</x:f>
        <x:v>6</x:v>
      </x:c>
      <x:c r="V280" s="91" t="str">
        <x:f>IF(L280=K280,"沿用建议","人工调整")</x:f>
        <x:v>沿用建议</x:v>
      </x:c>
      <x:c r="W280" s="92" t="str">
        <x:f>IF(Q280="是","售罄风险",IF(P280&gt;3,"损耗风险","正常"))</x:f>
        <x:v>损耗风险</x:v>
      </x:c>
    </x:row>
    <x:row r="281" ht="20" customHeight="1">
      <x:c r="A281" s="105" t="n">
        <x:v>46211</x:v>
      </x:c>
      <x:c r="B281" s="91" t="str">
        <x:v>模拟店 A（成熟商圈）</x:v>
      </x:c>
      <x:c r="C281" s="91" t="str">
        <x:v>成熟店</x:v>
      </x:c>
      <x:c r="D281" s="91" t="str">
        <x:v>筒骨煨藕汤</x:v>
      </x:c>
      <x:c r="E281" s="91" t="str">
        <x:v>晚市</x:v>
      </x:c>
      <x:c r="F281" s="91" t="str">
        <x:v>工作日周三</x:v>
      </x:c>
      <x:c r="G281" s="91" t="str">
        <x:v>雨天</x:v>
      </x:c>
      <x:c r="H281" s="91" t="str">
        <x:v>无</x:v>
      </x:c>
      <x:c r="I281" s="108" t="n">
        <x:v>72</x:v>
      </x:c>
      <x:c r="J281" s="108" t="n">
        <x:v>80</x:v>
      </x:c>
      <x:c r="K281" s="108" t="n">
        <x:v>80</x:v>
      </x:c>
      <x:c r="L281" s="108" t="n">
        <x:v>80</x:v>
      </x:c>
      <x:c r="M281" s="108" t="str">
        <x:v>沿用建议</x:v>
      </x:c>
      <x:c r="N281" s="108" t="n">
        <x:v>79</x:v>
      </x:c>
      <x:c r="O281" s="108" t="n">
        <x:v>92</x:v>
      </x:c>
      <x:c r="P281" s="108" t="n">
        <x:v>0</x:v>
      </x:c>
      <x:c r="Q281" s="91" t="str">
        <x:v>否</x:v>
      </x:c>
      <x:c r="R281" s="91" t="n">
        <x:v>1</x:v>
      </x:c>
      <x:c r="S281" s="91" t="str">
        <x:v>无</x:v>
      </x:c>
      <x:c r="T281" s="91" t="str">
        <x:v>模拟正常样本</x:v>
      </x:c>
      <x:c r="U281" s="91" t="n">
        <x:f>ABS(L281-N281)</x:f>
        <x:v>1</x:v>
      </x:c>
      <x:c r="V281" s="91" t="str">
        <x:f>IF(L281=K281,"沿用建议","人工调整")</x:f>
        <x:v>沿用建议</x:v>
      </x:c>
      <x:c r="W281" s="92" t="str">
        <x:f>IF(Q281="是","售罄风险",IF(P281&gt;3,"损耗风险","正常"))</x:f>
        <x:v>正常</x:v>
      </x:c>
    </x:row>
    <x:row r="282" ht="20" customHeight="1">
      <x:c r="A282" s="105" t="n">
        <x:v>46211</x:v>
      </x:c>
      <x:c r="B282" s="91" t="str">
        <x:v>模拟店 A（成熟商圈）</x:v>
      </x:c>
      <x:c r="C282" s="91" t="str">
        <x:v>成熟店</x:v>
      </x:c>
      <x:c r="D282" s="91" t="str">
        <x:v>粉蒸排骨</x:v>
      </x:c>
      <x:c r="E282" s="91" t="str">
        <x:v>晚市</x:v>
      </x:c>
      <x:c r="F282" s="91" t="str">
        <x:v>工作日周三</x:v>
      </x:c>
      <x:c r="G282" s="91" t="str">
        <x:v>雨天</x:v>
      </x:c>
      <x:c r="H282" s="91" t="str">
        <x:v>无</x:v>
      </x:c>
      <x:c r="I282" s="108" t="n">
        <x:v>42</x:v>
      </x:c>
      <x:c r="J282" s="108" t="n">
        <x:v>46</x:v>
      </x:c>
      <x:c r="K282" s="108" t="n">
        <x:v>46</x:v>
      </x:c>
      <x:c r="L282" s="108" t="n">
        <x:v>46</x:v>
      </x:c>
      <x:c r="M282" s="108" t="str">
        <x:v>沿用建议</x:v>
      </x:c>
      <x:c r="N282" s="108" t="n">
        <x:v>42</x:v>
      </x:c>
      <x:c r="O282" s="108" t="n">
        <x:v>58</x:v>
      </x:c>
      <x:c r="P282" s="108" t="n">
        <x:v>2</x:v>
      </x:c>
      <x:c r="Q282" s="91" t="str">
        <x:v>否</x:v>
      </x:c>
      <x:c r="R282" s="91" t="n">
        <x:v>1</x:v>
      </x:c>
      <x:c r="S282" s="91" t="str">
        <x:v>无</x:v>
      </x:c>
      <x:c r="T282" s="91" t="str">
        <x:v>模拟正常样本</x:v>
      </x:c>
      <x:c r="U282" s="91" t="n">
        <x:f>ABS(L282-N282)</x:f>
        <x:v>4</x:v>
      </x:c>
      <x:c r="V282" s="91" t="str">
        <x:f>IF(L282=K282,"沿用建议","人工调整")</x:f>
        <x:v>沿用建议</x:v>
      </x:c>
      <x:c r="W282" s="92" t="str">
        <x:f>IF(Q282="是","售罄风险",IF(P282&gt;3,"损耗风险","正常"))</x:f>
        <x:v>正常</x:v>
      </x:c>
    </x:row>
    <x:row r="283" ht="20" customHeight="1">
      <x:c r="A283" s="105" t="n">
        <x:v>46211</x:v>
      </x:c>
      <x:c r="B283" s="91" t="str">
        <x:v>模拟店 A（成熟商圈）</x:v>
      </x:c>
      <x:c r="C283" s="91" t="str">
        <x:v>成熟店</x:v>
      </x:c>
      <x:c r="D283" s="91" t="str">
        <x:v>桂花糖藕</x:v>
      </x:c>
      <x:c r="E283" s="91" t="str">
        <x:v>晚市</x:v>
      </x:c>
      <x:c r="F283" s="91" t="str">
        <x:v>工作日周三</x:v>
      </x:c>
      <x:c r="G283" s="91" t="str">
        <x:v>雨天</x:v>
      </x:c>
      <x:c r="H283" s="91" t="str">
        <x:v>无</x:v>
      </x:c>
      <x:c r="I283" s="108" t="n">
        <x:v>26</x:v>
      </x:c>
      <x:c r="J283" s="108" t="n">
        <x:v>30</x:v>
      </x:c>
      <x:c r="K283" s="108" t="n">
        <x:v>30</x:v>
      </x:c>
      <x:c r="L283" s="108" t="n">
        <x:v>28</x:v>
      </x:c>
      <x:c r="M283" s="108" t="str">
        <x:v>当班经验判断</x:v>
      </x:c>
      <x:c r="N283" s="108" t="n">
        <x:v>26</x:v>
      </x:c>
      <x:c r="O283" s="108" t="n">
        <x:v>38</x:v>
      </x:c>
      <x:c r="P283" s="108" t="n">
        <x:v>1</x:v>
      </x:c>
      <x:c r="Q283" s="91" t="str">
        <x:v>否</x:v>
      </x:c>
      <x:c r="R283" s="91" t="n">
        <x:v>1</x:v>
      </x:c>
      <x:c r="S283" s="91" t="str">
        <x:v>无</x:v>
      </x:c>
      <x:c r="T283" s="91" t="str">
        <x:v>模拟正常样本</x:v>
      </x:c>
      <x:c r="U283" s="91" t="n">
        <x:f>ABS(L283-N283)</x:f>
        <x:v>2</x:v>
      </x:c>
      <x:c r="V283" s="91" t="str">
        <x:f>IF(L283=K283,"沿用建议","人工调整")</x:f>
        <x:v>人工调整</x:v>
      </x:c>
      <x:c r="W283" s="92" t="str">
        <x:f>IF(Q283="是","售罄风险",IF(P283&gt;3,"损耗风险","正常"))</x:f>
        <x:v>正常</x:v>
      </x:c>
    </x:row>
    <x:row r="284" ht="20" customHeight="1">
      <x:c r="A284" s="105" t="n">
        <x:v>46211</x:v>
      </x:c>
      <x:c r="B284" s="91" t="str">
        <x:v>模拟店 A（成熟商圈）</x:v>
      </x:c>
      <x:c r="C284" s="91" t="str">
        <x:v>成熟店</x:v>
      </x:c>
      <x:c r="D284" s="91" t="str">
        <x:v>藕夹</x:v>
      </x:c>
      <x:c r="E284" s="91" t="str">
        <x:v>晚市</x:v>
      </x:c>
      <x:c r="F284" s="91" t="str">
        <x:v>工作日周三</x:v>
      </x:c>
      <x:c r="G284" s="91" t="str">
        <x:v>雨天</x:v>
      </x:c>
      <x:c r="H284" s="91" t="str">
        <x:v>无</x:v>
      </x:c>
      <x:c r="I284" s="108" t="n">
        <x:v>34</x:v>
      </x:c>
      <x:c r="J284" s="108" t="n">
        <x:v>38</x:v>
      </x:c>
      <x:c r="K284" s="108" t="n">
        <x:v>38</x:v>
      </x:c>
      <x:c r="L284" s="108" t="n">
        <x:v>38</x:v>
      </x:c>
      <x:c r="M284" s="108" t="str">
        <x:v>沿用建议</x:v>
      </x:c>
      <x:c r="N284" s="108" t="n">
        <x:v>33</x:v>
      </x:c>
      <x:c r="O284" s="108" t="n">
        <x:v>46</x:v>
      </x:c>
      <x:c r="P284" s="108" t="n">
        <x:v>3</x:v>
      </x:c>
      <x:c r="Q284" s="91" t="str">
        <x:v>否</x:v>
      </x:c>
      <x:c r="R284" s="91" t="n">
        <x:v>3</x:v>
      </x:c>
      <x:c r="S284" s="91" t="str">
        <x:v>无</x:v>
      </x:c>
      <x:c r="T284" s="91" t="str">
        <x:v>模拟正常样本</x:v>
      </x:c>
      <x:c r="U284" s="91" t="n">
        <x:f>ABS(L284-N284)</x:f>
        <x:v>5</x:v>
      </x:c>
      <x:c r="V284" s="91" t="str">
        <x:f>IF(L284=K284,"沿用建议","人工调整")</x:f>
        <x:v>沿用建议</x:v>
      </x:c>
      <x:c r="W284" s="92" t="str">
        <x:f>IF(Q284="是","售罄风险",IF(P284&gt;3,"损耗风险","正常"))</x:f>
        <x:v>正常</x:v>
      </x:c>
    </x:row>
    <x:row r="285" ht="20" customHeight="1">
      <x:c r="A285" s="105" t="n">
        <x:v>46211</x:v>
      </x:c>
      <x:c r="B285" s="91" t="str">
        <x:v>模拟店 B（新开门店）</x:v>
      </x:c>
      <x:c r="C285" s="91" t="str">
        <x:v>新店</x:v>
      </x:c>
      <x:c r="D285" s="91" t="str">
        <x:v>筒骨煨藕汤</x:v>
      </x:c>
      <x:c r="E285" s="91" t="str">
        <x:v>晚市</x:v>
      </x:c>
      <x:c r="F285" s="91" t="str">
        <x:v>工作日周三</x:v>
      </x:c>
      <x:c r="G285" s="91" t="str">
        <x:v>常温</x:v>
      </x:c>
      <x:c r="H285" s="91" t="str">
        <x:v>无</x:v>
      </x:c>
      <x:c r="I285" s="108" t="n">
        <x:v>53</x:v>
      </x:c>
      <x:c r="J285" s="108" t="n">
        <x:v>60</x:v>
      </x:c>
      <x:c r="K285" s="108" t="n">
        <x:v>60</x:v>
      </x:c>
      <x:c r="L285" s="108" t="n">
        <x:v>60</x:v>
      </x:c>
      <x:c r="M285" s="108" t="str">
        <x:v>沿用建议</x:v>
      </x:c>
      <x:c r="N285" s="108" t="n">
        <x:v>56</x:v>
      </x:c>
      <x:c r="O285" s="108" t="n">
        <x:v>74</x:v>
      </x:c>
      <x:c r="P285" s="108" t="n">
        <x:v>2</x:v>
      </x:c>
      <x:c r="Q285" s="91" t="str">
        <x:v>否</x:v>
      </x:c>
      <x:c r="R285" s="91" t="n">
        <x:v>1</x:v>
      </x:c>
      <x:c r="S285" s="91" t="str">
        <x:v>无</x:v>
      </x:c>
      <x:c r="T285" s="91" t="str">
        <x:v>模拟正常样本</x:v>
      </x:c>
      <x:c r="U285" s="91" t="n">
        <x:f>ABS(L285-N285)</x:f>
        <x:v>4</x:v>
      </x:c>
      <x:c r="V285" s="91" t="str">
        <x:f>IF(L285=K285,"沿用建议","人工调整")</x:f>
        <x:v>沿用建议</x:v>
      </x:c>
      <x:c r="W285" s="92" t="str">
        <x:f>IF(Q285="是","售罄风险",IF(P285&gt;3,"损耗风险","正常"))</x:f>
        <x:v>正常</x:v>
      </x:c>
    </x:row>
    <x:row r="286" ht="20" customHeight="1">
      <x:c r="A286" s="105" t="n">
        <x:v>46211</x:v>
      </x:c>
      <x:c r="B286" s="91" t="str">
        <x:v>模拟店 B（新开门店）</x:v>
      </x:c>
      <x:c r="C286" s="91" t="str">
        <x:v>新店</x:v>
      </x:c>
      <x:c r="D286" s="91" t="str">
        <x:v>粉蒸排骨</x:v>
      </x:c>
      <x:c r="E286" s="91" t="str">
        <x:v>晚市</x:v>
      </x:c>
      <x:c r="F286" s="91" t="str">
        <x:v>工作日周三</x:v>
      </x:c>
      <x:c r="G286" s="91" t="str">
        <x:v>常温</x:v>
      </x:c>
      <x:c r="H286" s="91" t="str">
        <x:v>无</x:v>
      </x:c>
      <x:c r="I286" s="108" t="n">
        <x:v>30</x:v>
      </x:c>
      <x:c r="J286" s="108" t="n">
        <x:v>34</x:v>
      </x:c>
      <x:c r="K286" s="108" t="n">
        <x:v>34</x:v>
      </x:c>
      <x:c r="L286" s="108" t="n">
        <x:v>34</x:v>
      </x:c>
      <x:c r="M286" s="108" t="str">
        <x:v>沿用建议</x:v>
      </x:c>
      <x:c r="N286" s="108" t="n">
        <x:v>27</x:v>
      </x:c>
      <x:c r="O286" s="108" t="n">
        <x:v>48</x:v>
      </x:c>
      <x:c r="P286" s="108" t="n">
        <x:v>5</x:v>
      </x:c>
      <x:c r="Q286" s="91" t="str">
        <x:v>否</x:v>
      </x:c>
      <x:c r="R286" s="91" t="n">
        <x:v>0</x:v>
      </x:c>
      <x:c r="S286" s="91" t="str">
        <x:v>无</x:v>
      </x:c>
      <x:c r="T286" s="91" t="str">
        <x:v>模拟正常样本</x:v>
      </x:c>
      <x:c r="U286" s="91" t="n">
        <x:f>ABS(L286-N286)</x:f>
        <x:v>7</x:v>
      </x:c>
      <x:c r="V286" s="91" t="str">
        <x:f>IF(L286=K286,"沿用建议","人工调整")</x:f>
        <x:v>沿用建议</x:v>
      </x:c>
      <x:c r="W286" s="92" t="str">
        <x:f>IF(Q286="是","售罄风险",IF(P286&gt;3,"损耗风险","正常"))</x:f>
        <x:v>损耗风险</x:v>
      </x:c>
    </x:row>
    <x:row r="287" ht="20" customHeight="1">
      <x:c r="A287" s="105" t="n">
        <x:v>46211</x:v>
      </x:c>
      <x:c r="B287" s="91" t="str">
        <x:v>模拟店 B（新开门店）</x:v>
      </x:c>
      <x:c r="C287" s="91" t="str">
        <x:v>新店</x:v>
      </x:c>
      <x:c r="D287" s="91" t="str">
        <x:v>桂花糖藕</x:v>
      </x:c>
      <x:c r="E287" s="91" t="str">
        <x:v>晚市</x:v>
      </x:c>
      <x:c r="F287" s="91" t="str">
        <x:v>工作日周三</x:v>
      </x:c>
      <x:c r="G287" s="91" t="str">
        <x:v>常温</x:v>
      </x:c>
      <x:c r="H287" s="91" t="str">
        <x:v>无</x:v>
      </x:c>
      <x:c r="I287" s="108" t="n">
        <x:v>21</x:v>
      </x:c>
      <x:c r="J287" s="108" t="n">
        <x:v>25</x:v>
      </x:c>
      <x:c r="K287" s="108" t="n">
        <x:v>25</x:v>
      </x:c>
      <x:c r="L287" s="108" t="n">
        <x:v>25</x:v>
      </x:c>
      <x:c r="M287" s="108" t="str">
        <x:v>沿用建议</x:v>
      </x:c>
      <x:c r="N287" s="108" t="n">
        <x:v>22</x:v>
      </x:c>
      <x:c r="O287" s="108" t="n">
        <x:v>33</x:v>
      </x:c>
      <x:c r="P287" s="108" t="n">
        <x:v>2</x:v>
      </x:c>
      <x:c r="Q287" s="91" t="str">
        <x:v>否</x:v>
      </x:c>
      <x:c r="R287" s="91" t="n">
        <x:v>0</x:v>
      </x:c>
      <x:c r="S287" s="91" t="str">
        <x:v>无</x:v>
      </x:c>
      <x:c r="T287" s="91" t="str">
        <x:v>模拟正常样本</x:v>
      </x:c>
      <x:c r="U287" s="91" t="n">
        <x:f>ABS(L287-N287)</x:f>
        <x:v>3</x:v>
      </x:c>
      <x:c r="V287" s="91" t="str">
        <x:f>IF(L287=K287,"沿用建议","人工调整")</x:f>
        <x:v>沿用建议</x:v>
      </x:c>
      <x:c r="W287" s="92" t="str">
        <x:f>IF(Q287="是","售罄风险",IF(P287&gt;3,"损耗风险","正常"))</x:f>
        <x:v>正常</x:v>
      </x:c>
    </x:row>
    <x:row r="288" ht="20" customHeight="1">
      <x:c r="A288" s="105" t="n">
        <x:v>46211</x:v>
      </x:c>
      <x:c r="B288" s="91" t="str">
        <x:v>模拟店 B（新开门店）</x:v>
      </x:c>
      <x:c r="C288" s="91" t="str">
        <x:v>新店</x:v>
      </x:c>
      <x:c r="D288" s="91" t="str">
        <x:v>藕夹</x:v>
      </x:c>
      <x:c r="E288" s="91" t="str">
        <x:v>晚市</x:v>
      </x:c>
      <x:c r="F288" s="91" t="str">
        <x:v>工作日周三</x:v>
      </x:c>
      <x:c r="G288" s="91" t="str">
        <x:v>常温</x:v>
      </x:c>
      <x:c r="H288" s="91" t="str">
        <x:v>无</x:v>
      </x:c>
      <x:c r="I288" s="108" t="n">
        <x:v>25</x:v>
      </x:c>
      <x:c r="J288" s="108" t="n">
        <x:v>29</x:v>
      </x:c>
      <x:c r="K288" s="108" t="n">
        <x:v>29</x:v>
      </x:c>
      <x:c r="L288" s="108" t="n">
        <x:v>29</x:v>
      </x:c>
      <x:c r="M288" s="108" t="str">
        <x:v>沿用建议</x:v>
      </x:c>
      <x:c r="N288" s="108" t="n">
        <x:v>28</x:v>
      </x:c>
      <x:c r="O288" s="108" t="n">
        <x:v>37</x:v>
      </x:c>
      <x:c r="P288" s="108" t="n">
        <x:v>0</x:v>
      </x:c>
      <x:c r="Q288" s="91" t="str">
        <x:v>否</x:v>
      </x:c>
      <x:c r="R288" s="91" t="n">
        <x:v>2</x:v>
      </x:c>
      <x:c r="S288" s="91" t="str">
        <x:v>无</x:v>
      </x:c>
      <x:c r="T288" s="91" t="str">
        <x:v>模拟正常样本</x:v>
      </x:c>
      <x:c r="U288" s="91" t="n">
        <x:f>ABS(L288-N288)</x:f>
        <x:v>1</x:v>
      </x:c>
      <x:c r="V288" s="91" t="str">
        <x:f>IF(L288=K288,"沿用建议","人工调整")</x:f>
        <x:v>沿用建议</x:v>
      </x:c>
      <x:c r="W288" s="92" t="str">
        <x:f>IF(Q288="是","售罄风险",IF(P288&gt;3,"损耗风险","正常"))</x:f>
        <x:v>正常</x:v>
      </x:c>
    </x:row>
    <x:row r="289" ht="20" customHeight="1">
      <x:c r="A289" s="105" t="n">
        <x:v>46211</x:v>
      </x:c>
      <x:c r="B289" s="91" t="str">
        <x:v>模拟店 C（社区门店）</x:v>
      </x:c>
      <x:c r="C289" s="91" t="str">
        <x:v>成长期</x:v>
      </x:c>
      <x:c r="D289" s="91" t="str">
        <x:v>筒骨煨藕汤</x:v>
      </x:c>
      <x:c r="E289" s="91" t="str">
        <x:v>晚市</x:v>
      </x:c>
      <x:c r="F289" s="91" t="str">
        <x:v>工作日周三</x:v>
      </x:c>
      <x:c r="G289" s="91" t="str">
        <x:v>高温</x:v>
      </x:c>
      <x:c r="H289" s="91" t="str">
        <x:v>无</x:v>
      </x:c>
      <x:c r="I289" s="108" t="n">
        <x:v>53</x:v>
      </x:c>
      <x:c r="J289" s="108" t="n">
        <x:v>60</x:v>
      </x:c>
      <x:c r="K289" s="108" t="n">
        <x:v>60</x:v>
      </x:c>
      <x:c r="L289" s="108" t="n">
        <x:v>60</x:v>
      </x:c>
      <x:c r="M289" s="108" t="str">
        <x:v>沿用建议</x:v>
      </x:c>
      <x:c r="N289" s="108" t="n">
        <x:v>59</x:v>
      </x:c>
      <x:c r="O289" s="108" t="n">
        <x:v>73</x:v>
      </x:c>
      <x:c r="P289" s="108" t="n">
        <x:v>0</x:v>
      </x:c>
      <x:c r="Q289" s="91" t="str">
        <x:v>否</x:v>
      </x:c>
      <x:c r="R289" s="91" t="n">
        <x:v>0</x:v>
      </x:c>
      <x:c r="S289" s="91" t="str">
        <x:v>无</x:v>
      </x:c>
      <x:c r="T289" s="91" t="str">
        <x:v>模拟正常样本</x:v>
      </x:c>
      <x:c r="U289" s="91" t="n">
        <x:f>ABS(L289-N289)</x:f>
        <x:v>1</x:v>
      </x:c>
      <x:c r="V289" s="91" t="str">
        <x:f>IF(L289=K289,"沿用建议","人工调整")</x:f>
        <x:v>沿用建议</x:v>
      </x:c>
      <x:c r="W289" s="92" t="str">
        <x:f>IF(Q289="是","售罄风险",IF(P289&gt;3,"损耗风险","正常"))</x:f>
        <x:v>正常</x:v>
      </x:c>
    </x:row>
    <x:row r="290" ht="20" customHeight="1">
      <x:c r="A290" s="105" t="n">
        <x:v>46211</x:v>
      </x:c>
      <x:c r="B290" s="91" t="str">
        <x:v>模拟店 C（社区门店）</x:v>
      </x:c>
      <x:c r="C290" s="91" t="str">
        <x:v>成长期</x:v>
      </x:c>
      <x:c r="D290" s="91" t="str">
        <x:v>粉蒸排骨</x:v>
      </x:c>
      <x:c r="E290" s="91" t="str">
        <x:v>晚市</x:v>
      </x:c>
      <x:c r="F290" s="91" t="str">
        <x:v>工作日周三</x:v>
      </x:c>
      <x:c r="G290" s="91" t="str">
        <x:v>高温</x:v>
      </x:c>
      <x:c r="H290" s="91" t="str">
        <x:v>无</x:v>
      </x:c>
      <x:c r="I290" s="108" t="n">
        <x:v>34</x:v>
      </x:c>
      <x:c r="J290" s="108" t="n">
        <x:v>38</x:v>
      </x:c>
      <x:c r="K290" s="108" t="n">
        <x:v>38</x:v>
      </x:c>
      <x:c r="L290" s="108" t="n">
        <x:v>38</x:v>
      </x:c>
      <x:c r="M290" s="108" t="str">
        <x:v>沿用建议</x:v>
      </x:c>
      <x:c r="N290" s="108" t="n">
        <x:v>37</x:v>
      </x:c>
      <x:c r="O290" s="108" t="n">
        <x:v>48</x:v>
      </x:c>
      <x:c r="P290" s="108" t="n">
        <x:v>0</x:v>
      </x:c>
      <x:c r="Q290" s="91" t="str">
        <x:v>否</x:v>
      </x:c>
      <x:c r="R290" s="91" t="n">
        <x:v>2</x:v>
      </x:c>
      <x:c r="S290" s="91" t="str">
        <x:v>无</x:v>
      </x:c>
      <x:c r="T290" s="91" t="str">
        <x:v>模拟正常样本</x:v>
      </x:c>
      <x:c r="U290" s="91" t="n">
        <x:f>ABS(L290-N290)</x:f>
        <x:v>1</x:v>
      </x:c>
      <x:c r="V290" s="91" t="str">
        <x:f>IF(L290=K290,"沿用建议","人工调整")</x:f>
        <x:v>沿用建议</x:v>
      </x:c>
      <x:c r="W290" s="92" t="str">
        <x:f>IF(Q290="是","售罄风险",IF(P290&gt;3,"损耗风险","正常"))</x:f>
        <x:v>正常</x:v>
      </x:c>
    </x:row>
    <x:row r="291" ht="20" customHeight="1">
      <x:c r="A291" s="105" t="n">
        <x:v>46211</x:v>
      </x:c>
      <x:c r="B291" s="91" t="str">
        <x:v>模拟店 C（社区门店）</x:v>
      </x:c>
      <x:c r="C291" s="91" t="str">
        <x:v>成长期</x:v>
      </x:c>
      <x:c r="D291" s="91" t="str">
        <x:v>桂花糖藕</x:v>
      </x:c>
      <x:c r="E291" s="91" t="str">
        <x:v>晚市</x:v>
      </x:c>
      <x:c r="F291" s="91" t="str">
        <x:v>工作日周三</x:v>
      </x:c>
      <x:c r="G291" s="91" t="str">
        <x:v>高温</x:v>
      </x:c>
      <x:c r="H291" s="91" t="str">
        <x:v>无</x:v>
      </x:c>
      <x:c r="I291" s="108" t="n">
        <x:v>25</x:v>
      </x:c>
      <x:c r="J291" s="108" t="n">
        <x:v>29</x:v>
      </x:c>
      <x:c r="K291" s="108" t="n">
        <x:v>29</x:v>
      </x:c>
      <x:c r="L291" s="108" t="n">
        <x:v>29</x:v>
      </x:c>
      <x:c r="M291" s="108" t="str">
        <x:v>沿用建议</x:v>
      </x:c>
      <x:c r="N291" s="108" t="n">
        <x:v>26</x:v>
      </x:c>
      <x:c r="O291" s="108" t="n">
        <x:v>39</x:v>
      </x:c>
      <x:c r="P291" s="108" t="n">
        <x:v>2</x:v>
      </x:c>
      <x:c r="Q291" s="91" t="str">
        <x:v>否</x:v>
      </x:c>
      <x:c r="R291" s="91" t="n">
        <x:v>1</x:v>
      </x:c>
      <x:c r="S291" s="91" t="str">
        <x:v>无</x:v>
      </x:c>
      <x:c r="T291" s="91" t="str">
        <x:v>模拟正常样本</x:v>
      </x:c>
      <x:c r="U291" s="91" t="n">
        <x:f>ABS(L291-N291)</x:f>
        <x:v>3</x:v>
      </x:c>
      <x:c r="V291" s="91" t="str">
        <x:f>IF(L291=K291,"沿用建议","人工调整")</x:f>
        <x:v>沿用建议</x:v>
      </x:c>
      <x:c r="W291" s="92" t="str">
        <x:f>IF(Q291="是","售罄风险",IF(P291&gt;3,"损耗风险","正常"))</x:f>
        <x:v>正常</x:v>
      </x:c>
    </x:row>
    <x:row r="292" ht="20" customHeight="1">
      <x:c r="A292" s="105" t="n">
        <x:v>46211</x:v>
      </x:c>
      <x:c r="B292" s="91" t="str">
        <x:v>模拟店 C（社区门店）</x:v>
      </x:c>
      <x:c r="C292" s="91" t="str">
        <x:v>成长期</x:v>
      </x:c>
      <x:c r="D292" s="91" t="str">
        <x:v>藕夹</x:v>
      </x:c>
      <x:c r="E292" s="91" t="str">
        <x:v>晚市</x:v>
      </x:c>
      <x:c r="F292" s="91" t="str">
        <x:v>工作日周三</x:v>
      </x:c>
      <x:c r="G292" s="91" t="str">
        <x:v>高温</x:v>
      </x:c>
      <x:c r="H292" s="91" t="str">
        <x:v>无</x:v>
      </x:c>
      <x:c r="I292" s="108" t="n">
        <x:v>29</x:v>
      </x:c>
      <x:c r="J292" s="108" t="n">
        <x:v>33</x:v>
      </x:c>
      <x:c r="K292" s="108" t="n">
        <x:v>33</x:v>
      </x:c>
      <x:c r="L292" s="108" t="n">
        <x:v>36</x:v>
      </x:c>
      <x:c r="M292" s="108" t="str">
        <x:v>当班经验判断</x:v>
      </x:c>
      <x:c r="N292" s="108" t="n">
        <x:v>32</x:v>
      </x:c>
      <x:c r="O292" s="108" t="n">
        <x:v>40</x:v>
      </x:c>
      <x:c r="P292" s="108" t="n">
        <x:v>2</x:v>
      </x:c>
      <x:c r="Q292" s="91" t="str">
        <x:v>否</x:v>
      </x:c>
      <x:c r="R292" s="91" t="n">
        <x:v>3</x:v>
      </x:c>
      <x:c r="S292" s="91" t="str">
        <x:v>无</x:v>
      </x:c>
      <x:c r="T292" s="91" t="str">
        <x:v>模拟正常样本</x:v>
      </x:c>
      <x:c r="U292" s="91" t="n">
        <x:f>ABS(L292-N292)</x:f>
        <x:v>4</x:v>
      </x:c>
      <x:c r="V292" s="91" t="str">
        <x:f>IF(L292=K292,"沿用建议","人工调整")</x:f>
        <x:v>人工调整</x:v>
      </x:c>
      <x:c r="W292" s="92" t="str">
        <x:f>IF(Q292="是","售罄风险",IF(P292&gt;3,"损耗风险","正常"))</x:f>
        <x:v>正常</x:v>
      </x:c>
    </x:row>
    <x:row r="293" ht="20" customHeight="1">
      <x:c r="A293" s="105" t="n">
        <x:v>46212</x:v>
      </x:c>
      <x:c r="B293" s="91" t="str">
        <x:v>模拟店 A（成熟商圈）</x:v>
      </x:c>
      <x:c r="C293" s="91" t="str">
        <x:v>成熟店</x:v>
      </x:c>
      <x:c r="D293" s="91" t="str">
        <x:v>筒骨煨藕汤</x:v>
      </x:c>
      <x:c r="E293" s="91" t="str">
        <x:v>晚市</x:v>
      </x:c>
      <x:c r="F293" s="91" t="str">
        <x:v>工作日周四</x:v>
      </x:c>
      <x:c r="G293" s="91" t="str">
        <x:v>常温</x:v>
      </x:c>
      <x:c r="H293" s="91" t="str">
        <x:v>无</x:v>
      </x:c>
      <x:c r="I293" s="108" t="n">
        <x:v>73</x:v>
      </x:c>
      <x:c r="J293" s="108" t="n">
        <x:v>82</x:v>
      </x:c>
      <x:c r="K293" s="108" t="n">
        <x:v>82</x:v>
      </x:c>
      <x:c r="L293" s="108" t="n">
        <x:v>82</x:v>
      </x:c>
      <x:c r="M293" s="108" t="str">
        <x:v>沿用建议</x:v>
      </x:c>
      <x:c r="N293" s="108" t="n">
        <x:v>80</x:v>
      </x:c>
      <x:c r="O293" s="108" t="n">
        <x:v>95</x:v>
      </x:c>
      <x:c r="P293" s="108" t="n">
        <x:v>0</x:v>
      </x:c>
      <x:c r="Q293" s="91" t="str">
        <x:v>否</x:v>
      </x:c>
      <x:c r="R293" s="91" t="n">
        <x:v>3</x:v>
      </x:c>
      <x:c r="S293" s="91" t="str">
        <x:v>无</x:v>
      </x:c>
      <x:c r="T293" s="91" t="str">
        <x:v>模拟正常样本</x:v>
      </x:c>
      <x:c r="U293" s="91" t="n">
        <x:f>ABS(L293-N293)</x:f>
        <x:v>2</x:v>
      </x:c>
      <x:c r="V293" s="91" t="str">
        <x:f>IF(L293=K293,"沿用建议","人工调整")</x:f>
        <x:v>沿用建议</x:v>
      </x:c>
      <x:c r="W293" s="92" t="str">
        <x:f>IF(Q293="是","售罄风险",IF(P293&gt;3,"损耗风险","正常"))</x:f>
        <x:v>正常</x:v>
      </x:c>
    </x:row>
    <x:row r="294" ht="20" customHeight="1">
      <x:c r="A294" s="105" t="n">
        <x:v>46212</x:v>
      </x:c>
      <x:c r="B294" s="91" t="str">
        <x:v>模拟店 A（成熟商圈）</x:v>
      </x:c>
      <x:c r="C294" s="91" t="str">
        <x:v>成熟店</x:v>
      </x:c>
      <x:c r="D294" s="91" t="str">
        <x:v>粉蒸排骨</x:v>
      </x:c>
      <x:c r="E294" s="91" t="str">
        <x:v>晚市</x:v>
      </x:c>
      <x:c r="F294" s="91" t="str">
        <x:v>工作日周四</x:v>
      </x:c>
      <x:c r="G294" s="91" t="str">
        <x:v>常温</x:v>
      </x:c>
      <x:c r="H294" s="91" t="str">
        <x:v>无</x:v>
      </x:c>
      <x:c r="I294" s="108" t="n">
        <x:v>42</x:v>
      </x:c>
      <x:c r="J294" s="108" t="n">
        <x:v>46</x:v>
      </x:c>
      <x:c r="K294" s="108" t="n">
        <x:v>46</x:v>
      </x:c>
      <x:c r="L294" s="108" t="n">
        <x:v>46</x:v>
      </x:c>
      <x:c r="M294" s="108" t="str">
        <x:v>沿用建议</x:v>
      </x:c>
      <x:c r="N294" s="108" t="n">
        <x:v>43</x:v>
      </x:c>
      <x:c r="O294" s="108" t="n">
        <x:v>59</x:v>
      </x:c>
      <x:c r="P294" s="108" t="n">
        <x:v>1</x:v>
      </x:c>
      <x:c r="Q294" s="91" t="str">
        <x:v>否</x:v>
      </x:c>
      <x:c r="R294" s="91" t="n">
        <x:v>1</x:v>
      </x:c>
      <x:c r="S294" s="91" t="str">
        <x:v>无</x:v>
      </x:c>
      <x:c r="T294" s="91" t="str">
        <x:v>模拟正常样本</x:v>
      </x:c>
      <x:c r="U294" s="91" t="n">
        <x:f>ABS(L294-N294)</x:f>
        <x:v>3</x:v>
      </x:c>
      <x:c r="V294" s="91" t="str">
        <x:f>IF(L294=K294,"沿用建议","人工调整")</x:f>
        <x:v>沿用建议</x:v>
      </x:c>
      <x:c r="W294" s="92" t="str">
        <x:f>IF(Q294="是","售罄风险",IF(P294&gt;3,"损耗风险","正常"))</x:f>
        <x:v>正常</x:v>
      </x:c>
    </x:row>
    <x:row r="295" ht="20" customHeight="1">
      <x:c r="A295" s="105" t="n">
        <x:v>46212</x:v>
      </x:c>
      <x:c r="B295" s="91" t="str">
        <x:v>模拟店 A（成熟商圈）</x:v>
      </x:c>
      <x:c r="C295" s="91" t="str">
        <x:v>成熟店</x:v>
      </x:c>
      <x:c r="D295" s="91" t="str">
        <x:v>桂花糖藕</x:v>
      </x:c>
      <x:c r="E295" s="91" t="str">
        <x:v>晚市</x:v>
      </x:c>
      <x:c r="F295" s="91" t="str">
        <x:v>工作日周四</x:v>
      </x:c>
      <x:c r="G295" s="91" t="str">
        <x:v>常温</x:v>
      </x:c>
      <x:c r="H295" s="91" t="str">
        <x:v>无</x:v>
      </x:c>
      <x:c r="I295" s="108" t="n">
        <x:v>29</x:v>
      </x:c>
      <x:c r="J295" s="108" t="n">
        <x:v>33</x:v>
      </x:c>
      <x:c r="K295" s="108" t="n">
        <x:v>33</x:v>
      </x:c>
      <x:c r="L295" s="108" t="n">
        <x:v>33</x:v>
      </x:c>
      <x:c r="M295" s="108" t="str">
        <x:v>沿用建议</x:v>
      </x:c>
      <x:c r="N295" s="108" t="n">
        <x:v>30</x:v>
      </x:c>
      <x:c r="O295" s="108" t="n">
        <x:v>42</x:v>
      </x:c>
      <x:c r="P295" s="108" t="n">
        <x:v>2</x:v>
      </x:c>
      <x:c r="Q295" s="91" t="str">
        <x:v>否</x:v>
      </x:c>
      <x:c r="R295" s="91" t="n">
        <x:v>2</x:v>
      </x:c>
      <x:c r="S295" s="91" t="str">
        <x:v>无</x:v>
      </x:c>
      <x:c r="T295" s="91" t="str">
        <x:v>模拟正常样本</x:v>
      </x:c>
      <x:c r="U295" s="91" t="n">
        <x:f>ABS(L295-N295)</x:f>
        <x:v>3</x:v>
      </x:c>
      <x:c r="V295" s="91" t="str">
        <x:f>IF(L295=K295,"沿用建议","人工调整")</x:f>
        <x:v>沿用建议</x:v>
      </x:c>
      <x:c r="W295" s="92" t="str">
        <x:f>IF(Q295="是","售罄风险",IF(P295&gt;3,"损耗风险","正常"))</x:f>
        <x:v>正常</x:v>
      </x:c>
    </x:row>
    <x:row r="296" ht="20" customHeight="1">
      <x:c r="A296" s="105" t="n">
        <x:v>46212</x:v>
      </x:c>
      <x:c r="B296" s="91" t="str">
        <x:v>模拟店 A（成熟商圈）</x:v>
      </x:c>
      <x:c r="C296" s="91" t="str">
        <x:v>成熟店</x:v>
      </x:c>
      <x:c r="D296" s="91" t="str">
        <x:v>藕夹</x:v>
      </x:c>
      <x:c r="E296" s="91" t="str">
        <x:v>晚市</x:v>
      </x:c>
      <x:c r="F296" s="91" t="str">
        <x:v>工作日周四</x:v>
      </x:c>
      <x:c r="G296" s="91" t="str">
        <x:v>常温</x:v>
      </x:c>
      <x:c r="H296" s="91" t="str">
        <x:v>无</x:v>
      </x:c>
      <x:c r="I296" s="108" t="n">
        <x:v>35</x:v>
      </x:c>
      <x:c r="J296" s="108" t="n">
        <x:v>39</x:v>
      </x:c>
      <x:c r="K296" s="108" t="n">
        <x:v>39</x:v>
      </x:c>
      <x:c r="L296" s="108" t="n">
        <x:v>39</x:v>
      </x:c>
      <x:c r="M296" s="108" t="str">
        <x:v>沿用建议</x:v>
      </x:c>
      <x:c r="N296" s="108" t="n">
        <x:v>34</x:v>
      </x:c>
      <x:c r="O296" s="108" t="n">
        <x:v>50</x:v>
      </x:c>
      <x:c r="P296" s="108" t="n">
        <x:v>3</x:v>
      </x:c>
      <x:c r="Q296" s="91" t="str">
        <x:v>否</x:v>
      </x:c>
      <x:c r="R296" s="91" t="n">
        <x:v>2</x:v>
      </x:c>
      <x:c r="S296" s="91" t="str">
        <x:v>无</x:v>
      </x:c>
      <x:c r="T296" s="91" t="str">
        <x:v>模拟正常样本</x:v>
      </x:c>
      <x:c r="U296" s="91" t="n">
        <x:f>ABS(L296-N296)</x:f>
        <x:v>5</x:v>
      </x:c>
      <x:c r="V296" s="91" t="str">
        <x:f>IF(L296=K296,"沿用建议","人工调整")</x:f>
        <x:v>沿用建议</x:v>
      </x:c>
      <x:c r="W296" s="92" t="str">
        <x:f>IF(Q296="是","售罄风险",IF(P296&gt;3,"损耗风险","正常"))</x:f>
        <x:v>正常</x:v>
      </x:c>
    </x:row>
    <x:row r="297" ht="20" customHeight="1">
      <x:c r="A297" s="105" t="n">
        <x:v>46212</x:v>
      </x:c>
      <x:c r="B297" s="91" t="str">
        <x:v>模拟店 B（新开门店）</x:v>
      </x:c>
      <x:c r="C297" s="91" t="str">
        <x:v>新店</x:v>
      </x:c>
      <x:c r="D297" s="91" t="str">
        <x:v>筒骨煨藕汤</x:v>
      </x:c>
      <x:c r="E297" s="91" t="str">
        <x:v>晚市</x:v>
      </x:c>
      <x:c r="F297" s="91" t="str">
        <x:v>工作日周四</x:v>
      </x:c>
      <x:c r="G297" s="91" t="str">
        <x:v>高温</x:v>
      </x:c>
      <x:c r="H297" s="91" t="str">
        <x:v>无</x:v>
      </x:c>
      <x:c r="I297" s="108" t="n">
        <x:v>47</x:v>
      </x:c>
      <x:c r="J297" s="108" t="n">
        <x:v>53</x:v>
      </x:c>
      <x:c r="K297" s="108" t="n">
        <x:v>53</x:v>
      </x:c>
      <x:c r="L297" s="108" t="n">
        <x:v>53</x:v>
      </x:c>
      <x:c r="M297" s="108" t="str">
        <x:v>沿用建议</x:v>
      </x:c>
      <x:c r="N297" s="108" t="n">
        <x:v>50</x:v>
      </x:c>
      <x:c r="O297" s="108" t="n">
        <x:v>66</x:v>
      </x:c>
      <x:c r="P297" s="108" t="n">
        <x:v>1</x:v>
      </x:c>
      <x:c r="Q297" s="91" t="str">
        <x:v>否</x:v>
      </x:c>
      <x:c r="R297" s="91" t="n">
        <x:v>1</x:v>
      </x:c>
      <x:c r="S297" s="91" t="str">
        <x:v>无</x:v>
      </x:c>
      <x:c r="T297" s="91" t="str">
        <x:v>模拟正常样本</x:v>
      </x:c>
      <x:c r="U297" s="91" t="n">
        <x:f>ABS(L297-N297)</x:f>
        <x:v>3</x:v>
      </x:c>
      <x:c r="V297" s="91" t="str">
        <x:f>IF(L297=K297,"沿用建议","人工调整")</x:f>
        <x:v>沿用建议</x:v>
      </x:c>
      <x:c r="W297" s="92" t="str">
        <x:f>IF(Q297="是","售罄风险",IF(P297&gt;3,"损耗风险","正常"))</x:f>
        <x:v>正常</x:v>
      </x:c>
    </x:row>
    <x:row r="298" ht="20" customHeight="1">
      <x:c r="A298" s="105" t="n">
        <x:v>46212</x:v>
      </x:c>
      <x:c r="B298" s="91" t="str">
        <x:v>模拟店 B（新开门店）</x:v>
      </x:c>
      <x:c r="C298" s="91" t="str">
        <x:v>新店</x:v>
      </x:c>
      <x:c r="D298" s="91" t="str">
        <x:v>粉蒸排骨</x:v>
      </x:c>
      <x:c r="E298" s="91" t="str">
        <x:v>晚市</x:v>
      </x:c>
      <x:c r="F298" s="91" t="str">
        <x:v>工作日周四</x:v>
      </x:c>
      <x:c r="G298" s="91" t="str">
        <x:v>高温</x:v>
      </x:c>
      <x:c r="H298" s="91" t="str">
        <x:v>无</x:v>
      </x:c>
      <x:c r="I298" s="108" t="n">
        <x:v>30</x:v>
      </x:c>
      <x:c r="J298" s="108" t="n">
        <x:v>34</x:v>
      </x:c>
      <x:c r="K298" s="108" t="n">
        <x:v>34</x:v>
      </x:c>
      <x:c r="L298" s="108" t="n">
        <x:v>34</x:v>
      </x:c>
      <x:c r="M298" s="108" t="str">
        <x:v>沿用建议</x:v>
      </x:c>
      <x:c r="N298" s="108" t="n">
        <x:v>29</x:v>
      </x:c>
      <x:c r="O298" s="108" t="n">
        <x:v>48</x:v>
      </x:c>
      <x:c r="P298" s="108" t="n">
        <x:v>3</x:v>
      </x:c>
      <x:c r="Q298" s="91" t="str">
        <x:v>否</x:v>
      </x:c>
      <x:c r="R298" s="91" t="n">
        <x:v>2</x:v>
      </x:c>
      <x:c r="S298" s="91" t="str">
        <x:v>无</x:v>
      </x:c>
      <x:c r="T298" s="91" t="str">
        <x:v>模拟正常样本</x:v>
      </x:c>
      <x:c r="U298" s="91" t="n">
        <x:f>ABS(L298-N298)</x:f>
        <x:v>5</x:v>
      </x:c>
      <x:c r="V298" s="91" t="str">
        <x:f>IF(L298=K298,"沿用建议","人工调整")</x:f>
        <x:v>沿用建议</x:v>
      </x:c>
      <x:c r="W298" s="92" t="str">
        <x:f>IF(Q298="是","售罄风险",IF(P298&gt;3,"损耗风险","正常"))</x:f>
        <x:v>正常</x:v>
      </x:c>
    </x:row>
    <x:row r="299" ht="20" customHeight="1">
      <x:c r="A299" s="105" t="n">
        <x:v>46212</x:v>
      </x:c>
      <x:c r="B299" s="91" t="str">
        <x:v>模拟店 B（新开门店）</x:v>
      </x:c>
      <x:c r="C299" s="91" t="str">
        <x:v>新店</x:v>
      </x:c>
      <x:c r="D299" s="91" t="str">
        <x:v>桂花糖藕</x:v>
      </x:c>
      <x:c r="E299" s="91" t="str">
        <x:v>晚市</x:v>
      </x:c>
      <x:c r="F299" s="91" t="str">
        <x:v>工作日周四</x:v>
      </x:c>
      <x:c r="G299" s="91" t="str">
        <x:v>高温</x:v>
      </x:c>
      <x:c r="H299" s="91" t="str">
        <x:v>无</x:v>
      </x:c>
      <x:c r="I299" s="108" t="n">
        <x:v>21</x:v>
      </x:c>
      <x:c r="J299" s="108" t="n">
        <x:v>25</x:v>
      </x:c>
      <x:c r="K299" s="108" t="n">
        <x:v>25</x:v>
      </x:c>
      <x:c r="L299" s="108" t="n">
        <x:v>25</x:v>
      </x:c>
      <x:c r="M299" s="108" t="str">
        <x:v>沿用建议</x:v>
      </x:c>
      <x:c r="N299" s="108" t="n">
        <x:v>23</x:v>
      </x:c>
      <x:c r="O299" s="108" t="n">
        <x:v>36</x:v>
      </x:c>
      <x:c r="P299" s="108" t="n">
        <x:v>1</x:v>
      </x:c>
      <x:c r="Q299" s="91" t="str">
        <x:v>否</x:v>
      </x:c>
      <x:c r="R299" s="91" t="n">
        <x:v>2</x:v>
      </x:c>
      <x:c r="S299" s="91" t="str">
        <x:v>无</x:v>
      </x:c>
      <x:c r="T299" s="91" t="str">
        <x:v>模拟正常样本</x:v>
      </x:c>
      <x:c r="U299" s="91" t="n">
        <x:f>ABS(L299-N299)</x:f>
        <x:v>2</x:v>
      </x:c>
      <x:c r="V299" s="91" t="str">
        <x:f>IF(L299=K299,"沿用建议","人工调整")</x:f>
        <x:v>沿用建议</x:v>
      </x:c>
      <x:c r="W299" s="92" t="str">
        <x:f>IF(Q299="是","售罄风险",IF(P299&gt;3,"损耗风险","正常"))</x:f>
        <x:v>正常</x:v>
      </x:c>
    </x:row>
    <x:row r="300" ht="20" customHeight="1">
      <x:c r="A300" s="105" t="n">
        <x:v>46212</x:v>
      </x:c>
      <x:c r="B300" s="91" t="str">
        <x:v>模拟店 B（新开门店）</x:v>
      </x:c>
      <x:c r="C300" s="91" t="str">
        <x:v>新店</x:v>
      </x:c>
      <x:c r="D300" s="91" t="str">
        <x:v>藕夹</x:v>
      </x:c>
      <x:c r="E300" s="91" t="str">
        <x:v>晚市</x:v>
      </x:c>
      <x:c r="F300" s="91" t="str">
        <x:v>工作日周四</x:v>
      </x:c>
      <x:c r="G300" s="91" t="str">
        <x:v>高温</x:v>
      </x:c>
      <x:c r="H300" s="91" t="str">
        <x:v>无</x:v>
      </x:c>
      <x:c r="I300" s="108" t="n">
        <x:v>24</x:v>
      </x:c>
      <x:c r="J300" s="108" t="n">
        <x:v>27</x:v>
      </x:c>
      <x:c r="K300" s="108" t="n">
        <x:v>27</x:v>
      </x:c>
      <x:c r="L300" s="108" t="n">
        <x:v>27</x:v>
      </x:c>
      <x:c r="M300" s="108" t="str">
        <x:v>沿用建议</x:v>
      </x:c>
      <x:c r="N300" s="108" t="n">
        <x:v>23</x:v>
      </x:c>
      <x:c r="O300" s="108" t="n">
        <x:v>39</x:v>
      </x:c>
      <x:c r="P300" s="108" t="n">
        <x:v>2</x:v>
      </x:c>
      <x:c r="Q300" s="91" t="str">
        <x:v>否</x:v>
      </x:c>
      <x:c r="R300" s="91" t="n">
        <x:v>1</x:v>
      </x:c>
      <x:c r="S300" s="91" t="str">
        <x:v>无</x:v>
      </x:c>
      <x:c r="T300" s="91" t="str">
        <x:v>模拟正常样本</x:v>
      </x:c>
      <x:c r="U300" s="91" t="n">
        <x:f>ABS(L300-N300)</x:f>
        <x:v>4</x:v>
      </x:c>
      <x:c r="V300" s="91" t="str">
        <x:f>IF(L300=K300,"沿用建议","人工调整")</x:f>
        <x:v>沿用建议</x:v>
      </x:c>
      <x:c r="W300" s="92" t="str">
        <x:f>IF(Q300="是","售罄风险",IF(P300&gt;3,"损耗风险","正常"))</x:f>
        <x:v>正常</x:v>
      </x:c>
    </x:row>
    <x:row r="301" ht="20" customHeight="1">
      <x:c r="A301" s="105" t="n">
        <x:v>46212</x:v>
      </x:c>
      <x:c r="B301" s="91" t="str">
        <x:v>模拟店 C（社区门店）</x:v>
      </x:c>
      <x:c r="C301" s="91" t="str">
        <x:v>成长期</x:v>
      </x:c>
      <x:c r="D301" s="91" t="str">
        <x:v>筒骨煨藕汤</x:v>
      </x:c>
      <x:c r="E301" s="91" t="str">
        <x:v>晚市</x:v>
      </x:c>
      <x:c r="F301" s="91" t="str">
        <x:v>工作日周四</x:v>
      </x:c>
      <x:c r="G301" s="91" t="str">
        <x:v>常温</x:v>
      </x:c>
      <x:c r="H301" s="91" t="str">
        <x:v>无</x:v>
      </x:c>
      <x:c r="I301" s="108" t="n">
        <x:v>57</x:v>
      </x:c>
      <x:c r="J301" s="108" t="n">
        <x:v>64</x:v>
      </x:c>
      <x:c r="K301" s="108" t="n">
        <x:v>64</x:v>
      </x:c>
      <x:c r="L301" s="108" t="n">
        <x:v>64</x:v>
      </x:c>
      <x:c r="M301" s="108" t="str">
        <x:v>沿用建议</x:v>
      </x:c>
      <x:c r="N301" s="108" t="n">
        <x:v>57</x:v>
      </x:c>
      <x:c r="O301" s="108" t="n">
        <x:v>72</x:v>
      </x:c>
      <x:c r="P301" s="108" t="n">
        <x:v>5</x:v>
      </x:c>
      <x:c r="Q301" s="91" t="str">
        <x:v>否</x:v>
      </x:c>
      <x:c r="R301" s="91" t="n">
        <x:v>2</x:v>
      </x:c>
      <x:c r="S301" s="91" t="str">
        <x:v>无</x:v>
      </x:c>
      <x:c r="T301" s="91" t="str">
        <x:v>模拟正常样本</x:v>
      </x:c>
      <x:c r="U301" s="91" t="n">
        <x:f>ABS(L301-N301)</x:f>
        <x:v>7</x:v>
      </x:c>
      <x:c r="V301" s="91" t="str">
        <x:f>IF(L301=K301,"沿用建议","人工调整")</x:f>
        <x:v>沿用建议</x:v>
      </x:c>
      <x:c r="W301" s="92" t="str">
        <x:f>IF(Q301="是","售罄风险",IF(P301&gt;3,"损耗风险","正常"))</x:f>
        <x:v>损耗风险</x:v>
      </x:c>
    </x:row>
    <x:row r="302" ht="20" customHeight="1">
      <x:c r="A302" s="105" t="n">
        <x:v>46212</x:v>
      </x:c>
      <x:c r="B302" s="91" t="str">
        <x:v>模拟店 C（社区门店）</x:v>
      </x:c>
      <x:c r="C302" s="91" t="str">
        <x:v>成长期</x:v>
      </x:c>
      <x:c r="D302" s="91" t="str">
        <x:v>粉蒸排骨</x:v>
      </x:c>
      <x:c r="E302" s="91" t="str">
        <x:v>晚市</x:v>
      </x:c>
      <x:c r="F302" s="91" t="str">
        <x:v>工作日周四</x:v>
      </x:c>
      <x:c r="G302" s="91" t="str">
        <x:v>常温</x:v>
      </x:c>
      <x:c r="H302" s="91" t="str">
        <x:v>无</x:v>
      </x:c>
      <x:c r="I302" s="108" t="n">
        <x:v>37</x:v>
      </x:c>
      <x:c r="J302" s="108" t="n">
        <x:v>41</x:v>
      </x:c>
      <x:c r="K302" s="108" t="n">
        <x:v>41</x:v>
      </x:c>
      <x:c r="L302" s="108" t="n">
        <x:v>41</x:v>
      </x:c>
      <x:c r="M302" s="108" t="str">
        <x:v>沿用建议</x:v>
      </x:c>
      <x:c r="N302" s="108" t="n">
        <x:v>35</x:v>
      </x:c>
      <x:c r="O302" s="108" t="n">
        <x:v>53</x:v>
      </x:c>
      <x:c r="P302" s="108" t="n">
        <x:v>4</x:v>
      </x:c>
      <x:c r="Q302" s="91" t="str">
        <x:v>否</x:v>
      </x:c>
      <x:c r="R302" s="91" t="n">
        <x:v>0</x:v>
      </x:c>
      <x:c r="S302" s="91" t="str">
        <x:v>无</x:v>
      </x:c>
      <x:c r="T302" s="91" t="str">
        <x:v>模拟正常样本</x:v>
      </x:c>
      <x:c r="U302" s="91" t="n">
        <x:f>ABS(L302-N302)</x:f>
        <x:v>6</x:v>
      </x:c>
      <x:c r="V302" s="91" t="str">
        <x:f>IF(L302=K302,"沿用建议","人工调整")</x:f>
        <x:v>沿用建议</x:v>
      </x:c>
      <x:c r="W302" s="92" t="str">
        <x:f>IF(Q302="是","售罄风险",IF(P302&gt;3,"损耗风险","正常"))</x:f>
        <x:v>损耗风险</x:v>
      </x:c>
    </x:row>
    <x:row r="303" ht="20" customHeight="1">
      <x:c r="A303" s="105" t="n">
        <x:v>46212</x:v>
      </x:c>
      <x:c r="B303" s="91" t="str">
        <x:v>模拟店 C（社区门店）</x:v>
      </x:c>
      <x:c r="C303" s="91" t="str">
        <x:v>成长期</x:v>
      </x:c>
      <x:c r="D303" s="91" t="str">
        <x:v>桂花糖藕</x:v>
      </x:c>
      <x:c r="E303" s="91" t="str">
        <x:v>晚市</x:v>
      </x:c>
      <x:c r="F303" s="91" t="str">
        <x:v>工作日周四</x:v>
      </x:c>
      <x:c r="G303" s="91" t="str">
        <x:v>常温</x:v>
      </x:c>
      <x:c r="H303" s="91" t="str">
        <x:v>无</x:v>
      </x:c>
      <x:c r="I303" s="108" t="n">
        <x:v>24</x:v>
      </x:c>
      <x:c r="J303" s="108" t="n">
        <x:v>28</x:v>
      </x:c>
      <x:c r="K303" s="108" t="n">
        <x:v>28</x:v>
      </x:c>
      <x:c r="L303" s="108" t="n">
        <x:v>28</x:v>
      </x:c>
      <x:c r="M303" s="108" t="str">
        <x:v>沿用建议</x:v>
      </x:c>
      <x:c r="N303" s="108" t="n">
        <x:v>26</x:v>
      </x:c>
      <x:c r="O303" s="108" t="n">
        <x:v>42</x:v>
      </x:c>
      <x:c r="P303" s="108" t="n">
        <x:v>1</x:v>
      </x:c>
      <x:c r="Q303" s="91" t="str">
        <x:v>否</x:v>
      </x:c>
      <x:c r="R303" s="91" t="n">
        <x:v>1</x:v>
      </x:c>
      <x:c r="S303" s="91" t="str">
        <x:v>无</x:v>
      </x:c>
      <x:c r="T303" s="91" t="str">
        <x:v>模拟正常样本</x:v>
      </x:c>
      <x:c r="U303" s="91" t="n">
        <x:f>ABS(L303-N303)</x:f>
        <x:v>2</x:v>
      </x:c>
      <x:c r="V303" s="91" t="str">
        <x:f>IF(L303=K303,"沿用建议","人工调整")</x:f>
        <x:v>沿用建议</x:v>
      </x:c>
      <x:c r="W303" s="92" t="str">
        <x:f>IF(Q303="是","售罄风险",IF(P303&gt;3,"损耗风险","正常"))</x:f>
        <x:v>正常</x:v>
      </x:c>
    </x:row>
    <x:row r="304" ht="20" customHeight="1">
      <x:c r="A304" s="105" t="n">
        <x:v>46212</x:v>
      </x:c>
      <x:c r="B304" s="91" t="str">
        <x:v>模拟店 C（社区门店）</x:v>
      </x:c>
      <x:c r="C304" s="91" t="str">
        <x:v>成长期</x:v>
      </x:c>
      <x:c r="D304" s="91" t="str">
        <x:v>藕夹</x:v>
      </x:c>
      <x:c r="E304" s="91" t="str">
        <x:v>晚市</x:v>
      </x:c>
      <x:c r="F304" s="91" t="str">
        <x:v>工作日周四</x:v>
      </x:c>
      <x:c r="G304" s="91" t="str">
        <x:v>常温</x:v>
      </x:c>
      <x:c r="H304" s="91" t="str">
        <x:v>无</x:v>
      </x:c>
      <x:c r="I304" s="108" t="n">
        <x:v>28</x:v>
      </x:c>
      <x:c r="J304" s="108" t="n">
        <x:v>32</x:v>
      </x:c>
      <x:c r="K304" s="108" t="n">
        <x:v>32</x:v>
      </x:c>
      <x:c r="L304" s="108" t="n">
        <x:v>32</x:v>
      </x:c>
      <x:c r="M304" s="108" t="str">
        <x:v>沿用建议</x:v>
      </x:c>
      <x:c r="N304" s="108" t="n">
        <x:v>27</x:v>
      </x:c>
      <x:c r="O304" s="108" t="n">
        <x:v>40</x:v>
      </x:c>
      <x:c r="P304" s="108" t="n">
        <x:v>3</x:v>
      </x:c>
      <x:c r="Q304" s="91" t="str">
        <x:v>否</x:v>
      </x:c>
      <x:c r="R304" s="91" t="n">
        <x:v>2</x:v>
      </x:c>
      <x:c r="S304" s="91" t="str">
        <x:v>无</x:v>
      </x:c>
      <x:c r="T304" s="91" t="str">
        <x:v>模拟正常样本</x:v>
      </x:c>
      <x:c r="U304" s="91" t="n">
        <x:f>ABS(L304-N304)</x:f>
        <x:v>5</x:v>
      </x:c>
      <x:c r="V304" s="91" t="str">
        <x:f>IF(L304=K304,"沿用建议","人工调整")</x:f>
        <x:v>沿用建议</x:v>
      </x:c>
      <x:c r="W304" s="92" t="str">
        <x:f>IF(Q304="是","售罄风险",IF(P304&gt;3,"损耗风险","正常"))</x:f>
        <x:v>正常</x:v>
      </x:c>
    </x:row>
    <x:row r="305" ht="20" customHeight="1">
      <x:c r="A305" s="105" t="n">
        <x:v>46213</x:v>
      </x:c>
      <x:c r="B305" s="91" t="str">
        <x:v>模拟店 A（成熟商圈）</x:v>
      </x:c>
      <x:c r="C305" s="91" t="str">
        <x:v>成熟店</x:v>
      </x:c>
      <x:c r="D305" s="91" t="str">
        <x:v>筒骨煨藕汤</x:v>
      </x:c>
      <x:c r="E305" s="91" t="str">
        <x:v>晚市</x:v>
      </x:c>
      <x:c r="F305" s="91" t="str">
        <x:v>工作日周五</x:v>
      </x:c>
      <x:c r="G305" s="91" t="str">
        <x:v>高温</x:v>
      </x:c>
      <x:c r="H305" s="91" t="str">
        <x:v>无</x:v>
      </x:c>
      <x:c r="I305" s="108" t="n">
        <x:v>64</x:v>
      </x:c>
      <x:c r="J305" s="108" t="n">
        <x:v>72</x:v>
      </x:c>
      <x:c r="K305" s="108" t="n">
        <x:v>72</x:v>
      </x:c>
      <x:c r="L305" s="108" t="n">
        <x:v>72</x:v>
      </x:c>
      <x:c r="M305" s="108" t="str">
        <x:v>沿用建议</x:v>
      </x:c>
      <x:c r="N305" s="108" t="n">
        <x:v>61</x:v>
      </x:c>
      <x:c r="O305" s="108" t="n">
        <x:v>83</x:v>
      </x:c>
      <x:c r="P305" s="108" t="n">
        <x:v>9</x:v>
      </x:c>
      <x:c r="Q305" s="91" t="str">
        <x:v>否</x:v>
      </x:c>
      <x:c r="R305" s="91" t="n">
        <x:v>3</x:v>
      </x:c>
      <x:c r="S305" s="91" t="str">
        <x:v>无</x:v>
      </x:c>
      <x:c r="T305" s="91" t="str">
        <x:v>模拟正常样本</x:v>
      </x:c>
      <x:c r="U305" s="91" t="n">
        <x:f>ABS(L305-N305)</x:f>
        <x:v>11</x:v>
      </x:c>
      <x:c r="V305" s="91" t="str">
        <x:f>IF(L305=K305,"沿用建议","人工调整")</x:f>
        <x:v>沿用建议</x:v>
      </x:c>
      <x:c r="W305" s="92" t="str">
        <x:f>IF(Q305="是","售罄风险",IF(P305&gt;3,"损耗风险","正常"))</x:f>
        <x:v>损耗风险</x:v>
      </x:c>
    </x:row>
    <x:row r="306" ht="20" customHeight="1">
      <x:c r="A306" s="105" t="n">
        <x:v>46213</x:v>
      </x:c>
      <x:c r="B306" s="91" t="str">
        <x:v>模拟店 A（成熟商圈）</x:v>
      </x:c>
      <x:c r="C306" s="91" t="str">
        <x:v>成熟店</x:v>
      </x:c>
      <x:c r="D306" s="91" t="str">
        <x:v>粉蒸排骨</x:v>
      </x:c>
      <x:c r="E306" s="91" t="str">
        <x:v>晚市</x:v>
      </x:c>
      <x:c r="F306" s="91" t="str">
        <x:v>工作日周五</x:v>
      </x:c>
      <x:c r="G306" s="91" t="str">
        <x:v>高温</x:v>
      </x:c>
      <x:c r="H306" s="91" t="str">
        <x:v>无</x:v>
      </x:c>
      <x:c r="I306" s="108" t="n">
        <x:v>43</x:v>
      </x:c>
      <x:c r="J306" s="108" t="n">
        <x:v>47</x:v>
      </x:c>
      <x:c r="K306" s="108" t="n">
        <x:v>47</x:v>
      </x:c>
      <x:c r="L306" s="108" t="n">
        <x:v>47</x:v>
      </x:c>
      <x:c r="M306" s="108" t="str">
        <x:v>沿用建议</x:v>
      </x:c>
      <x:c r="N306" s="108" t="n">
        <x:v>39</x:v>
      </x:c>
      <x:c r="O306" s="108" t="n">
        <x:v>56</x:v>
      </x:c>
      <x:c r="P306" s="108" t="n">
        <x:v>6</x:v>
      </x:c>
      <x:c r="Q306" s="91" t="str">
        <x:v>否</x:v>
      </x:c>
      <x:c r="R306" s="91" t="n">
        <x:v>2</x:v>
      </x:c>
      <x:c r="S306" s="91" t="str">
        <x:v>无</x:v>
      </x:c>
      <x:c r="T306" s="91" t="str">
        <x:v>模拟正常样本</x:v>
      </x:c>
      <x:c r="U306" s="91" t="n">
        <x:f>ABS(L306-N306)</x:f>
        <x:v>8</x:v>
      </x:c>
      <x:c r="V306" s="91" t="str">
        <x:f>IF(L306=K306,"沿用建议","人工调整")</x:f>
        <x:v>沿用建议</x:v>
      </x:c>
      <x:c r="W306" s="92" t="str">
        <x:f>IF(Q306="是","售罄风险",IF(P306&gt;3,"损耗风险","正常"))</x:f>
        <x:v>损耗风险</x:v>
      </x:c>
    </x:row>
    <x:row r="307" ht="20" customHeight="1">
      <x:c r="A307" s="105" t="n">
        <x:v>46213</x:v>
      </x:c>
      <x:c r="B307" s="91" t="str">
        <x:v>模拟店 A（成熟商圈）</x:v>
      </x:c>
      <x:c r="C307" s="91" t="str">
        <x:v>成熟店</x:v>
      </x:c>
      <x:c r="D307" s="91" t="str">
        <x:v>桂花糖藕</x:v>
      </x:c>
      <x:c r="E307" s="91" t="str">
        <x:v>晚市</x:v>
      </x:c>
      <x:c r="F307" s="91" t="str">
        <x:v>工作日周五</x:v>
      </x:c>
      <x:c r="G307" s="91" t="str">
        <x:v>高温</x:v>
      </x:c>
      <x:c r="H307" s="91" t="str">
        <x:v>无</x:v>
      </x:c>
      <x:c r="I307" s="108" t="n">
        <x:v>30</x:v>
      </x:c>
      <x:c r="J307" s="108" t="n">
        <x:v>34</x:v>
      </x:c>
      <x:c r="K307" s="108" t="n">
        <x:v>34</x:v>
      </x:c>
      <x:c r="L307" s="108" t="n">
        <x:v>34</x:v>
      </x:c>
      <x:c r="M307" s="108" t="str">
        <x:v>沿用建议</x:v>
      </x:c>
      <x:c r="N307" s="108" t="n">
        <x:v>32</x:v>
      </x:c>
      <x:c r="O307" s="108" t="n">
        <x:v>45</x:v>
      </x:c>
      <x:c r="P307" s="108" t="n">
        <x:v>1</x:v>
      </x:c>
      <x:c r="Q307" s="91" t="str">
        <x:v>否</x:v>
      </x:c>
      <x:c r="R307" s="91" t="n">
        <x:v>0</x:v>
      </x:c>
      <x:c r="S307" s="91" t="str">
        <x:v>无</x:v>
      </x:c>
      <x:c r="T307" s="91" t="str">
        <x:v>模拟正常样本</x:v>
      </x:c>
      <x:c r="U307" s="91" t="n">
        <x:f>ABS(L307-N307)</x:f>
        <x:v>2</x:v>
      </x:c>
      <x:c r="V307" s="91" t="str">
        <x:f>IF(L307=K307,"沿用建议","人工调整")</x:f>
        <x:v>沿用建议</x:v>
      </x:c>
      <x:c r="W307" s="92" t="str">
        <x:f>IF(Q307="是","售罄风险",IF(P307&gt;3,"损耗风险","正常"))</x:f>
        <x:v>正常</x:v>
      </x:c>
    </x:row>
    <x:row r="308" ht="20" customHeight="1">
      <x:c r="A308" s="105" t="n">
        <x:v>46213</x:v>
      </x:c>
      <x:c r="B308" s="91" t="str">
        <x:v>模拟店 A（成熟商圈）</x:v>
      </x:c>
      <x:c r="C308" s="91" t="str">
        <x:v>成熟店</x:v>
      </x:c>
      <x:c r="D308" s="91" t="str">
        <x:v>藕夹</x:v>
      </x:c>
      <x:c r="E308" s="91" t="str">
        <x:v>晚市</x:v>
      </x:c>
      <x:c r="F308" s="91" t="str">
        <x:v>工作日周五</x:v>
      </x:c>
      <x:c r="G308" s="91" t="str">
        <x:v>高温</x:v>
      </x:c>
      <x:c r="H308" s="91" t="str">
        <x:v>无</x:v>
      </x:c>
      <x:c r="I308" s="108" t="n">
        <x:v>35</x:v>
      </x:c>
      <x:c r="J308" s="108" t="n">
        <x:v>39</x:v>
      </x:c>
      <x:c r="K308" s="108" t="n">
        <x:v>39</x:v>
      </x:c>
      <x:c r="L308" s="108" t="n">
        <x:v>39</x:v>
      </x:c>
      <x:c r="M308" s="108" t="str">
        <x:v>沿用建议</x:v>
      </x:c>
      <x:c r="N308" s="108" t="n">
        <x:v>39</x:v>
      </x:c>
      <x:c r="O308" s="108" t="n">
        <x:v>49</x:v>
      </x:c>
      <x:c r="P308" s="108" t="n">
        <x:v>0</x:v>
      </x:c>
      <x:c r="Q308" s="91" t="str">
        <x:v>否</x:v>
      </x:c>
      <x:c r="R308" s="91" t="n">
        <x:v>1</x:v>
      </x:c>
      <x:c r="S308" s="91" t="str">
        <x:v>无</x:v>
      </x:c>
      <x:c r="T308" s="91" t="str">
        <x:v>模拟正常样本</x:v>
      </x:c>
      <x:c r="U308" s="91" t="n">
        <x:f>ABS(L308-N308)</x:f>
        <x:v>0</x:v>
      </x:c>
      <x:c r="V308" s="91" t="str">
        <x:f>IF(L308=K308,"沿用建议","人工调整")</x:f>
        <x:v>沿用建议</x:v>
      </x:c>
      <x:c r="W308" s="92" t="str">
        <x:f>IF(Q308="是","售罄风险",IF(P308&gt;3,"损耗风险","正常"))</x:f>
        <x:v>正常</x:v>
      </x:c>
    </x:row>
    <x:row r="309" ht="20" customHeight="1">
      <x:c r="A309" s="105" t="n">
        <x:v>46213</x:v>
      </x:c>
      <x:c r="B309" s="91" t="str">
        <x:v>模拟店 B（新开门店）</x:v>
      </x:c>
      <x:c r="C309" s="91" t="str">
        <x:v>新店</x:v>
      </x:c>
      <x:c r="D309" s="91" t="str">
        <x:v>筒骨煨藕汤</x:v>
      </x:c>
      <x:c r="E309" s="91" t="str">
        <x:v>晚市</x:v>
      </x:c>
      <x:c r="F309" s="91" t="str">
        <x:v>工作日周五</x:v>
      </x:c>
      <x:c r="G309" s="91" t="str">
        <x:v>常温</x:v>
      </x:c>
      <x:c r="H309" s="91" t="str">
        <x:v>无</x:v>
      </x:c>
      <x:c r="I309" s="108" t="n">
        <x:v>52</x:v>
      </x:c>
      <x:c r="J309" s="108" t="n">
        <x:v>59</x:v>
      </x:c>
      <x:c r="K309" s="108" t="n">
        <x:v>59</x:v>
      </x:c>
      <x:c r="L309" s="108" t="n">
        <x:v>59</x:v>
      </x:c>
      <x:c r="M309" s="108" t="str">
        <x:v>沿用建议</x:v>
      </x:c>
      <x:c r="N309" s="108" t="n">
        <x:v>50</x:v>
      </x:c>
      <x:c r="O309" s="108" t="n">
        <x:v>69</x:v>
      </x:c>
      <x:c r="P309" s="108" t="n">
        <x:v>7</x:v>
      </x:c>
      <x:c r="Q309" s="91" t="str">
        <x:v>否</x:v>
      </x:c>
      <x:c r="R309" s="91" t="n">
        <x:v>1</x:v>
      </x:c>
      <x:c r="S309" s="91" t="str">
        <x:v>无</x:v>
      </x:c>
      <x:c r="T309" s="91" t="str">
        <x:v>模拟正常样本</x:v>
      </x:c>
      <x:c r="U309" s="91" t="n">
        <x:f>ABS(L309-N309)</x:f>
        <x:v>9</x:v>
      </x:c>
      <x:c r="V309" s="91" t="str">
        <x:f>IF(L309=K309,"沿用建议","人工调整")</x:f>
        <x:v>沿用建议</x:v>
      </x:c>
      <x:c r="W309" s="92" t="str">
        <x:f>IF(Q309="是","售罄风险",IF(P309&gt;3,"损耗风险","正常"))</x:f>
        <x:v>损耗风险</x:v>
      </x:c>
    </x:row>
    <x:row r="310" ht="20" customHeight="1">
      <x:c r="A310" s="105" t="n">
        <x:v>46213</x:v>
      </x:c>
      <x:c r="B310" s="91" t="str">
        <x:v>模拟店 B（新开门店）</x:v>
      </x:c>
      <x:c r="C310" s="91" t="str">
        <x:v>新店</x:v>
      </x:c>
      <x:c r="D310" s="91" t="str">
        <x:v>粉蒸排骨</x:v>
      </x:c>
      <x:c r="E310" s="91" t="str">
        <x:v>晚市</x:v>
      </x:c>
      <x:c r="F310" s="91" t="str">
        <x:v>工作日周五</x:v>
      </x:c>
      <x:c r="G310" s="91" t="str">
        <x:v>常温</x:v>
      </x:c>
      <x:c r="H310" s="91" t="str">
        <x:v>无</x:v>
      </x:c>
      <x:c r="I310" s="108" t="n">
        <x:v>31</x:v>
      </x:c>
      <x:c r="J310" s="108" t="n">
        <x:v>35</x:v>
      </x:c>
      <x:c r="K310" s="108" t="n">
        <x:v>35</x:v>
      </x:c>
      <x:c r="L310" s="108" t="n">
        <x:v>33</x:v>
      </x:c>
      <x:c r="M310" s="108" t="str">
        <x:v>当班经验判断</x:v>
      </x:c>
      <x:c r="N310" s="108" t="n">
        <x:v>32</x:v>
      </x:c>
      <x:c r="O310" s="108" t="n">
        <x:v>43</x:v>
      </x:c>
      <x:c r="P310" s="108" t="n">
        <x:v>0</x:v>
      </x:c>
      <x:c r="Q310" s="91" t="str">
        <x:v>否</x:v>
      </x:c>
      <x:c r="R310" s="91" t="n">
        <x:v>1</x:v>
      </x:c>
      <x:c r="S310" s="91" t="str">
        <x:v>无</x:v>
      </x:c>
      <x:c r="T310" s="91" t="str">
        <x:v>模拟正常样本</x:v>
      </x:c>
      <x:c r="U310" s="91" t="n">
        <x:f>ABS(L310-N310)</x:f>
        <x:v>1</x:v>
      </x:c>
      <x:c r="V310" s="91" t="str">
        <x:f>IF(L310=K310,"沿用建议","人工调整")</x:f>
        <x:v>人工调整</x:v>
      </x:c>
      <x:c r="W310" s="92" t="str">
        <x:f>IF(Q310="是","售罄风险",IF(P310&gt;3,"损耗风险","正常"))</x:f>
        <x:v>正常</x:v>
      </x:c>
    </x:row>
    <x:row r="311" ht="20" customHeight="1">
      <x:c r="A311" s="105" t="n">
        <x:v>46213</x:v>
      </x:c>
      <x:c r="B311" s="91" t="str">
        <x:v>模拟店 B（新开门店）</x:v>
      </x:c>
      <x:c r="C311" s="91" t="str">
        <x:v>新店</x:v>
      </x:c>
      <x:c r="D311" s="91" t="str">
        <x:v>桂花糖藕</x:v>
      </x:c>
      <x:c r="E311" s="91" t="str">
        <x:v>晚市</x:v>
      </x:c>
      <x:c r="F311" s="91" t="str">
        <x:v>工作日周五</x:v>
      </x:c>
      <x:c r="G311" s="91" t="str">
        <x:v>常温</x:v>
      </x:c>
      <x:c r="H311" s="91" t="str">
        <x:v>无</x:v>
      </x:c>
      <x:c r="I311" s="108" t="n">
        <x:v>22</x:v>
      </x:c>
      <x:c r="J311" s="108" t="n">
        <x:v>26</x:v>
      </x:c>
      <x:c r="K311" s="108" t="n">
        <x:v>26</x:v>
      </x:c>
      <x:c r="L311" s="108" t="n">
        <x:v>26</x:v>
      </x:c>
      <x:c r="M311" s="108" t="str">
        <x:v>沿用建议</x:v>
      </x:c>
      <x:c r="N311" s="108" t="n">
        <x:v>22</x:v>
      </x:c>
      <x:c r="O311" s="108" t="n">
        <x:v>39</x:v>
      </x:c>
      <x:c r="P311" s="108" t="n">
        <x:v>3</x:v>
      </x:c>
      <x:c r="Q311" s="91" t="str">
        <x:v>否</x:v>
      </x:c>
      <x:c r="R311" s="91" t="n">
        <x:v>3</x:v>
      </x:c>
      <x:c r="S311" s="91" t="str">
        <x:v>无</x:v>
      </x:c>
      <x:c r="T311" s="91" t="str">
        <x:v>模拟正常样本</x:v>
      </x:c>
      <x:c r="U311" s="91" t="n">
        <x:f>ABS(L311-N311)</x:f>
        <x:v>4</x:v>
      </x:c>
      <x:c r="V311" s="91" t="str">
        <x:f>IF(L311=K311,"沿用建议","人工调整")</x:f>
        <x:v>沿用建议</x:v>
      </x:c>
      <x:c r="W311" s="92" t="str">
        <x:f>IF(Q311="是","售罄风险",IF(P311&gt;3,"损耗风险","正常"))</x:f>
        <x:v>正常</x:v>
      </x:c>
    </x:row>
    <x:row r="312" ht="20" customHeight="1">
      <x:c r="A312" s="105" t="n">
        <x:v>46213</x:v>
      </x:c>
      <x:c r="B312" s="91" t="str">
        <x:v>模拟店 B（新开门店）</x:v>
      </x:c>
      <x:c r="C312" s="91" t="str">
        <x:v>新店</x:v>
      </x:c>
      <x:c r="D312" s="91" t="str">
        <x:v>藕夹</x:v>
      </x:c>
      <x:c r="E312" s="91" t="str">
        <x:v>晚市</x:v>
      </x:c>
      <x:c r="F312" s="91" t="str">
        <x:v>工作日周五</x:v>
      </x:c>
      <x:c r="G312" s="91" t="str">
        <x:v>常温</x:v>
      </x:c>
      <x:c r="H312" s="91" t="str">
        <x:v>无</x:v>
      </x:c>
      <x:c r="I312" s="108" t="n">
        <x:v>26</x:v>
      </x:c>
      <x:c r="J312" s="108" t="n">
        <x:v>30</x:v>
      </x:c>
      <x:c r="K312" s="108" t="n">
        <x:v>30</x:v>
      </x:c>
      <x:c r="L312" s="108" t="n">
        <x:v>30</x:v>
      </x:c>
      <x:c r="M312" s="108" t="str">
        <x:v>沿用建议</x:v>
      </x:c>
      <x:c r="N312" s="108" t="n">
        <x:v>27</x:v>
      </x:c>
      <x:c r="O312" s="108" t="n">
        <x:v>37</x:v>
      </x:c>
      <x:c r="P312" s="108" t="n">
        <x:v>1</x:v>
      </x:c>
      <x:c r="Q312" s="91" t="str">
        <x:v>否</x:v>
      </x:c>
      <x:c r="R312" s="91" t="n">
        <x:v>3</x:v>
      </x:c>
      <x:c r="S312" s="91" t="str">
        <x:v>无</x:v>
      </x:c>
      <x:c r="T312" s="91" t="str">
        <x:v>模拟正常样本</x:v>
      </x:c>
      <x:c r="U312" s="91" t="n">
        <x:f>ABS(L312-N312)</x:f>
        <x:v>3</x:v>
      </x:c>
      <x:c r="V312" s="91" t="str">
        <x:f>IF(L312=K312,"沿用建议","人工调整")</x:f>
        <x:v>沿用建议</x:v>
      </x:c>
      <x:c r="W312" s="92" t="str">
        <x:f>IF(Q312="是","售罄风险",IF(P312&gt;3,"损耗风险","正常"))</x:f>
        <x:v>正常</x:v>
      </x:c>
    </x:row>
    <x:row r="313" ht="20" customHeight="1">
      <x:c r="A313" s="105" t="n">
        <x:v>46213</x:v>
      </x:c>
      <x:c r="B313" s="91" t="str">
        <x:v>模拟店 C（社区门店）</x:v>
      </x:c>
      <x:c r="C313" s="91" t="str">
        <x:v>成长期</x:v>
      </x:c>
      <x:c r="D313" s="91" t="str">
        <x:v>筒骨煨藕汤</x:v>
      </x:c>
      <x:c r="E313" s="91" t="str">
        <x:v>晚市</x:v>
      </x:c>
      <x:c r="F313" s="91" t="str">
        <x:v>工作日周五</x:v>
      </x:c>
      <x:c r="G313" s="91" t="str">
        <x:v>降温</x:v>
      </x:c>
      <x:c r="H313" s="91" t="str">
        <x:v>无</x:v>
      </x:c>
      <x:c r="I313" s="108" t="n">
        <x:v>66</x:v>
      </x:c>
      <x:c r="J313" s="108" t="n">
        <x:v>74</x:v>
      </x:c>
      <x:c r="K313" s="108" t="n">
        <x:v>74</x:v>
      </x:c>
      <x:c r="L313" s="108" t="n">
        <x:v>74</x:v>
      </x:c>
      <x:c r="M313" s="108" t="str">
        <x:v>沿用建议</x:v>
      </x:c>
      <x:c r="N313" s="108" t="n">
        <x:v>70</x:v>
      </x:c>
      <x:c r="O313" s="108" t="n">
        <x:v>85</x:v>
      </x:c>
      <x:c r="P313" s="108" t="n">
        <x:v>2</x:v>
      </x:c>
      <x:c r="Q313" s="91" t="str">
        <x:v>否</x:v>
      </x:c>
      <x:c r="R313" s="91" t="n">
        <x:v>1</x:v>
      </x:c>
      <x:c r="S313" s="91" t="str">
        <x:v>无</x:v>
      </x:c>
      <x:c r="T313" s="91" t="str">
        <x:v>模拟正常样本</x:v>
      </x:c>
      <x:c r="U313" s="91" t="n">
        <x:f>ABS(L313-N313)</x:f>
        <x:v>4</x:v>
      </x:c>
      <x:c r="V313" s="91" t="str">
        <x:f>IF(L313=K313,"沿用建议","人工调整")</x:f>
        <x:v>沿用建议</x:v>
      </x:c>
      <x:c r="W313" s="92" t="str">
        <x:f>IF(Q313="是","售罄风险",IF(P313&gt;3,"损耗风险","正常"))</x:f>
        <x:v>正常</x:v>
      </x:c>
    </x:row>
    <x:row r="314" ht="20" customHeight="1">
      <x:c r="A314" s="105" t="n">
        <x:v>46213</x:v>
      </x:c>
      <x:c r="B314" s="91" t="str">
        <x:v>模拟店 C（社区门店）</x:v>
      </x:c>
      <x:c r="C314" s="91" t="str">
        <x:v>成长期</x:v>
      </x:c>
      <x:c r="D314" s="91" t="str">
        <x:v>粉蒸排骨</x:v>
      </x:c>
      <x:c r="E314" s="91" t="str">
        <x:v>晚市</x:v>
      </x:c>
      <x:c r="F314" s="91" t="str">
        <x:v>工作日周五</x:v>
      </x:c>
      <x:c r="G314" s="91" t="str">
        <x:v>降温</x:v>
      </x:c>
      <x:c r="H314" s="91" t="str">
        <x:v>无</x:v>
      </x:c>
      <x:c r="I314" s="108" t="n">
        <x:v>37</x:v>
      </x:c>
      <x:c r="J314" s="108" t="n">
        <x:v>41</x:v>
      </x:c>
      <x:c r="K314" s="108" t="n">
        <x:v>41</x:v>
      </x:c>
      <x:c r="L314" s="108" t="n">
        <x:v>41</x:v>
      </x:c>
      <x:c r="M314" s="108" t="str">
        <x:v>沿用建议</x:v>
      </x:c>
      <x:c r="N314" s="108" t="n">
        <x:v>39</x:v>
      </x:c>
      <x:c r="O314" s="108" t="n">
        <x:v>48</x:v>
      </x:c>
      <x:c r="P314" s="108" t="n">
        <x:v>0</x:v>
      </x:c>
      <x:c r="Q314" s="91" t="str">
        <x:v>否</x:v>
      </x:c>
      <x:c r="R314" s="91" t="n">
        <x:v>3</x:v>
      </x:c>
      <x:c r="S314" s="91" t="str">
        <x:v>无</x:v>
      </x:c>
      <x:c r="T314" s="91" t="str">
        <x:v>模拟正常样本</x:v>
      </x:c>
      <x:c r="U314" s="91" t="n">
        <x:f>ABS(L314-N314)</x:f>
        <x:v>2</x:v>
      </x:c>
      <x:c r="V314" s="91" t="str">
        <x:f>IF(L314=K314,"沿用建议","人工调整")</x:f>
        <x:v>沿用建议</x:v>
      </x:c>
      <x:c r="W314" s="92" t="str">
        <x:f>IF(Q314="是","售罄风险",IF(P314&gt;3,"损耗风险","正常"))</x:f>
        <x:v>正常</x:v>
      </x:c>
    </x:row>
    <x:row r="315" ht="20" customHeight="1">
      <x:c r="A315" s="105" t="n">
        <x:v>46213</x:v>
      </x:c>
      <x:c r="B315" s="91" t="str">
        <x:v>模拟店 C（社区门店）</x:v>
      </x:c>
      <x:c r="C315" s="91" t="str">
        <x:v>成长期</x:v>
      </x:c>
      <x:c r="D315" s="91" t="str">
        <x:v>桂花糖藕</x:v>
      </x:c>
      <x:c r="E315" s="91" t="str">
        <x:v>晚市</x:v>
      </x:c>
      <x:c r="F315" s="91" t="str">
        <x:v>工作日周五</x:v>
      </x:c>
      <x:c r="G315" s="91" t="str">
        <x:v>降温</x:v>
      </x:c>
      <x:c r="H315" s="91" t="str">
        <x:v>无</x:v>
      </x:c>
      <x:c r="I315" s="108" t="n">
        <x:v>24</x:v>
      </x:c>
      <x:c r="J315" s="108" t="n">
        <x:v>28</x:v>
      </x:c>
      <x:c r="K315" s="108" t="n">
        <x:v>28</x:v>
      </x:c>
      <x:c r="L315" s="108" t="n">
        <x:v>28</x:v>
      </x:c>
      <x:c r="M315" s="108" t="str">
        <x:v>沿用建议</x:v>
      </x:c>
      <x:c r="N315" s="108" t="n">
        <x:v>22</x:v>
      </x:c>
      <x:c r="O315" s="108" t="n">
        <x:v>35</x:v>
      </x:c>
      <x:c r="P315" s="108" t="n">
        <x:v>5</x:v>
      </x:c>
      <x:c r="Q315" s="91" t="str">
        <x:v>否</x:v>
      </x:c>
      <x:c r="R315" s="91" t="n">
        <x:v>2</x:v>
      </x:c>
      <x:c r="S315" s="91" t="str">
        <x:v>无</x:v>
      </x:c>
      <x:c r="T315" s="91" t="str">
        <x:v>模拟正常样本</x:v>
      </x:c>
      <x:c r="U315" s="91" t="n">
        <x:f>ABS(L315-N315)</x:f>
        <x:v>6</x:v>
      </x:c>
      <x:c r="V315" s="91" t="str">
        <x:f>IF(L315=K315,"沿用建议","人工调整")</x:f>
        <x:v>沿用建议</x:v>
      </x:c>
      <x:c r="W315" s="92" t="str">
        <x:f>IF(Q315="是","售罄风险",IF(P315&gt;3,"损耗风险","正常"))</x:f>
        <x:v>损耗风险</x:v>
      </x:c>
    </x:row>
    <x:row r="316" ht="20" customHeight="1">
      <x:c r="A316" s="105" t="n">
        <x:v>46213</x:v>
      </x:c>
      <x:c r="B316" s="91" t="str">
        <x:v>模拟店 C（社区门店）</x:v>
      </x:c>
      <x:c r="C316" s="91" t="str">
        <x:v>成长期</x:v>
      </x:c>
      <x:c r="D316" s="91" t="str">
        <x:v>藕夹</x:v>
      </x:c>
      <x:c r="E316" s="91" t="str">
        <x:v>晚市</x:v>
      </x:c>
      <x:c r="F316" s="91" t="str">
        <x:v>工作日周五</x:v>
      </x:c>
      <x:c r="G316" s="91" t="str">
        <x:v>降温</x:v>
      </x:c>
      <x:c r="H316" s="91" t="str">
        <x:v>无</x:v>
      </x:c>
      <x:c r="I316" s="108" t="n">
        <x:v>28</x:v>
      </x:c>
      <x:c r="J316" s="108" t="n">
        <x:v>32</x:v>
      </x:c>
      <x:c r="K316" s="108" t="n">
        <x:v>32</x:v>
      </x:c>
      <x:c r="L316" s="108" t="n">
        <x:v>32</x:v>
      </x:c>
      <x:c r="M316" s="108" t="str">
        <x:v>沿用建议</x:v>
      </x:c>
      <x:c r="N316" s="108" t="n">
        <x:v>25</x:v>
      </x:c>
      <x:c r="O316" s="108" t="n">
        <x:v>44</x:v>
      </x:c>
      <x:c r="P316" s="108" t="n">
        <x:v>5</x:v>
      </x:c>
      <x:c r="Q316" s="91" t="str">
        <x:v>否</x:v>
      </x:c>
      <x:c r="R316" s="91" t="n">
        <x:v>3</x:v>
      </x:c>
      <x:c r="S316" s="91" t="str">
        <x:v>无</x:v>
      </x:c>
      <x:c r="T316" s="91" t="str">
        <x:v>模拟正常样本</x:v>
      </x:c>
      <x:c r="U316" s="91" t="n">
        <x:f>ABS(L316-N316)</x:f>
        <x:v>7</x:v>
      </x:c>
      <x:c r="V316" s="91" t="str">
        <x:f>IF(L316=K316,"沿用建议","人工调整")</x:f>
        <x:v>沿用建议</x:v>
      </x:c>
      <x:c r="W316" s="92" t="str">
        <x:f>IF(Q316="是","售罄风险",IF(P316&gt;3,"损耗风险","正常"))</x:f>
        <x:v>损耗风险</x:v>
      </x:c>
    </x:row>
    <x:row r="317" ht="20" customHeight="1">
      <x:c r="A317" s="105" t="n">
        <x:v>46214</x:v>
      </x:c>
      <x:c r="B317" s="91" t="str">
        <x:v>模拟店 A（成熟商圈）</x:v>
      </x:c>
      <x:c r="C317" s="91" t="str">
        <x:v>成熟店</x:v>
      </x:c>
      <x:c r="D317" s="91" t="str">
        <x:v>筒骨煨藕汤</x:v>
      </x:c>
      <x:c r="E317" s="91" t="str">
        <x:v>晚市</x:v>
      </x:c>
      <x:c r="F317" s="91" t="str">
        <x:v>周末周六</x:v>
      </x:c>
      <x:c r="G317" s="91" t="str">
        <x:v>常温</x:v>
      </x:c>
      <x:c r="H317" s="91" t="str">
        <x:v>无</x:v>
      </x:c>
      <x:c r="I317" s="108" t="n">
        <x:v>83</x:v>
      </x:c>
      <x:c r="J317" s="108" t="n">
        <x:v>92</x:v>
      </x:c>
      <x:c r="K317" s="108" t="n">
        <x:v>92</x:v>
      </x:c>
      <x:c r="L317" s="108" t="n">
        <x:v>92</x:v>
      </x:c>
      <x:c r="M317" s="108" t="str">
        <x:v>沿用建议</x:v>
      </x:c>
      <x:c r="N317" s="108" t="n">
        <x:v>87</x:v>
      </x:c>
      <x:c r="O317" s="108" t="n">
        <x:v>105</x:v>
      </x:c>
      <x:c r="P317" s="108" t="n">
        <x:v>3</x:v>
      </x:c>
      <x:c r="Q317" s="91" t="str">
        <x:v>否</x:v>
      </x:c>
      <x:c r="R317" s="91" t="n">
        <x:v>3</x:v>
      </x:c>
      <x:c r="S317" s="91" t="str">
        <x:v>无</x:v>
      </x:c>
      <x:c r="T317" s="91" t="str">
        <x:v>模拟正常样本</x:v>
      </x:c>
      <x:c r="U317" s="91" t="n">
        <x:f>ABS(L317-N317)</x:f>
        <x:v>5</x:v>
      </x:c>
      <x:c r="V317" s="91" t="str">
        <x:f>IF(L317=K317,"沿用建议","人工调整")</x:f>
        <x:v>沿用建议</x:v>
      </x:c>
      <x:c r="W317" s="92" t="str">
        <x:f>IF(Q317="是","售罄风险",IF(P317&gt;3,"损耗风险","正常"))</x:f>
        <x:v>正常</x:v>
      </x:c>
    </x:row>
    <x:row r="318" ht="20" customHeight="1">
      <x:c r="A318" s="105" t="n">
        <x:v>46214</x:v>
      </x:c>
      <x:c r="B318" s="91" t="str">
        <x:v>模拟店 A（成熟商圈）</x:v>
      </x:c>
      <x:c r="C318" s="91" t="str">
        <x:v>成熟店</x:v>
      </x:c>
      <x:c r="D318" s="91" t="str">
        <x:v>粉蒸排骨</x:v>
      </x:c>
      <x:c r="E318" s="91" t="str">
        <x:v>晚市</x:v>
      </x:c>
      <x:c r="F318" s="91" t="str">
        <x:v>周末周六</x:v>
      </x:c>
      <x:c r="G318" s="91" t="str">
        <x:v>常温</x:v>
      </x:c>
      <x:c r="H318" s="91" t="str">
        <x:v>无</x:v>
      </x:c>
      <x:c r="I318" s="108" t="n">
        <x:v>49</x:v>
      </x:c>
      <x:c r="J318" s="108" t="n">
        <x:v>53</x:v>
      </x:c>
      <x:c r="K318" s="108" t="n">
        <x:v>53</x:v>
      </x:c>
      <x:c r="L318" s="108" t="n">
        <x:v>53</x:v>
      </x:c>
      <x:c r="M318" s="108" t="str">
        <x:v>沿用建议</x:v>
      </x:c>
      <x:c r="N318" s="108" t="n">
        <x:v>45</x:v>
      </x:c>
      <x:c r="O318" s="108" t="n">
        <x:v>62</x:v>
      </x:c>
      <x:c r="P318" s="108" t="n">
        <x:v>6</x:v>
      </x:c>
      <x:c r="Q318" s="91" t="str">
        <x:v>否</x:v>
      </x:c>
      <x:c r="R318" s="91" t="n">
        <x:v>1</x:v>
      </x:c>
      <x:c r="S318" s="91" t="str">
        <x:v>无</x:v>
      </x:c>
      <x:c r="T318" s="91" t="str">
        <x:v>模拟正常样本</x:v>
      </x:c>
      <x:c r="U318" s="91" t="n">
        <x:f>ABS(L318-N318)</x:f>
        <x:v>8</x:v>
      </x:c>
      <x:c r="V318" s="91" t="str">
        <x:f>IF(L318=K318,"沿用建议","人工调整")</x:f>
        <x:v>沿用建议</x:v>
      </x:c>
      <x:c r="W318" s="92" t="str">
        <x:f>IF(Q318="是","售罄风险",IF(P318&gt;3,"损耗风险","正常"))</x:f>
        <x:v>损耗风险</x:v>
      </x:c>
    </x:row>
    <x:row r="319" ht="20" customHeight="1">
      <x:c r="A319" s="105" t="n">
        <x:v>46214</x:v>
      </x:c>
      <x:c r="B319" s="91" t="str">
        <x:v>模拟店 A（成熟商圈）</x:v>
      </x:c>
      <x:c r="C319" s="91" t="str">
        <x:v>成熟店</x:v>
      </x:c>
      <x:c r="D319" s="91" t="str">
        <x:v>桂花糖藕</x:v>
      </x:c>
      <x:c r="E319" s="91" t="str">
        <x:v>晚市</x:v>
      </x:c>
      <x:c r="F319" s="91" t="str">
        <x:v>周末周六</x:v>
      </x:c>
      <x:c r="G319" s="91" t="str">
        <x:v>常温</x:v>
      </x:c>
      <x:c r="H319" s="91" t="str">
        <x:v>无</x:v>
      </x:c>
      <x:c r="I319" s="108" t="n">
        <x:v>34</x:v>
      </x:c>
      <x:c r="J319" s="108" t="n">
        <x:v>39</x:v>
      </x:c>
      <x:c r="K319" s="108" t="n">
        <x:v>39</x:v>
      </x:c>
      <x:c r="L319" s="108" t="n">
        <x:v>39</x:v>
      </x:c>
      <x:c r="M319" s="108" t="str">
        <x:v>沿用建议</x:v>
      </x:c>
      <x:c r="N319" s="108" t="n">
        <x:v>38</x:v>
      </x:c>
      <x:c r="O319" s="108" t="n">
        <x:v>48</x:v>
      </x:c>
      <x:c r="P319" s="108" t="n">
        <x:v>0</x:v>
      </x:c>
      <x:c r="Q319" s="91" t="str">
        <x:v>否</x:v>
      </x:c>
      <x:c r="R319" s="91" t="n">
        <x:v>3</x:v>
      </x:c>
      <x:c r="S319" s="91" t="str">
        <x:v>无</x:v>
      </x:c>
      <x:c r="T319" s="91" t="str">
        <x:v>模拟正常样本</x:v>
      </x:c>
      <x:c r="U319" s="91" t="n">
        <x:f>ABS(L319-N319)</x:f>
        <x:v>1</x:v>
      </x:c>
      <x:c r="V319" s="91" t="str">
        <x:f>IF(L319=K319,"沿用建议","人工调整")</x:f>
        <x:v>沿用建议</x:v>
      </x:c>
      <x:c r="W319" s="92" t="str">
        <x:f>IF(Q319="是","售罄风险",IF(P319&gt;3,"损耗风险","正常"))</x:f>
        <x:v>正常</x:v>
      </x:c>
    </x:row>
    <x:row r="320" ht="20" customHeight="1">
      <x:c r="A320" s="105" t="n">
        <x:v>46214</x:v>
      </x:c>
      <x:c r="B320" s="91" t="str">
        <x:v>模拟店 A（成熟商圈）</x:v>
      </x:c>
      <x:c r="C320" s="91" t="str">
        <x:v>成熟店</x:v>
      </x:c>
      <x:c r="D320" s="91" t="str">
        <x:v>藕夹</x:v>
      </x:c>
      <x:c r="E320" s="91" t="str">
        <x:v>晚市</x:v>
      </x:c>
      <x:c r="F320" s="91" t="str">
        <x:v>周末周六</x:v>
      </x:c>
      <x:c r="G320" s="91" t="str">
        <x:v>常温</x:v>
      </x:c>
      <x:c r="H320" s="91" t="str">
        <x:v>无</x:v>
      </x:c>
      <x:c r="I320" s="108" t="n">
        <x:v>39</x:v>
      </x:c>
      <x:c r="J320" s="108" t="n">
        <x:v>43</x:v>
      </x:c>
      <x:c r="K320" s="108" t="n">
        <x:v>43</x:v>
      </x:c>
      <x:c r="L320" s="108" t="n">
        <x:v>43</x:v>
      </x:c>
      <x:c r="M320" s="108" t="str">
        <x:v>沿用建议</x:v>
      </x:c>
      <x:c r="N320" s="108" t="n">
        <x:v>37</x:v>
      </x:c>
      <x:c r="O320" s="108" t="n">
        <x:v>50</x:v>
      </x:c>
      <x:c r="P320" s="108" t="n">
        <x:v>4</x:v>
      </x:c>
      <x:c r="Q320" s="91" t="str">
        <x:v>否</x:v>
      </x:c>
      <x:c r="R320" s="91" t="n">
        <x:v>2</x:v>
      </x:c>
      <x:c r="S320" s="91" t="str">
        <x:v>无</x:v>
      </x:c>
      <x:c r="T320" s="91" t="str">
        <x:v>模拟正常样本</x:v>
      </x:c>
      <x:c r="U320" s="91" t="n">
        <x:f>ABS(L320-N320)</x:f>
        <x:v>6</x:v>
      </x:c>
      <x:c r="V320" s="91" t="str">
        <x:f>IF(L320=K320,"沿用建议","人工调整")</x:f>
        <x:v>沿用建议</x:v>
      </x:c>
      <x:c r="W320" s="92" t="str">
        <x:f>IF(Q320="是","售罄风险",IF(P320&gt;3,"损耗风险","正常"))</x:f>
        <x:v>损耗风险</x:v>
      </x:c>
    </x:row>
    <x:row r="321" ht="20" customHeight="1">
      <x:c r="A321" s="105" t="n">
        <x:v>46214</x:v>
      </x:c>
      <x:c r="B321" s="91" t="str">
        <x:v>模拟店 B（新开门店）</x:v>
      </x:c>
      <x:c r="C321" s="91" t="str">
        <x:v>新店</x:v>
      </x:c>
      <x:c r="D321" s="91" t="str">
        <x:v>筒骨煨藕汤</x:v>
      </x:c>
      <x:c r="E321" s="91" t="str">
        <x:v>晚市</x:v>
      </x:c>
      <x:c r="F321" s="91" t="str">
        <x:v>周末周六</x:v>
      </x:c>
      <x:c r="G321" s="91" t="str">
        <x:v>降温</x:v>
      </x:c>
      <x:c r="H321" s="91" t="str">
        <x:v>无</x:v>
      </x:c>
      <x:c r="I321" s="108" t="n">
        <x:v>65</x:v>
      </x:c>
      <x:c r="J321" s="108" t="n">
        <x:v>73</x:v>
      </x:c>
      <x:c r="K321" s="108" t="n">
        <x:v>73</x:v>
      </x:c>
      <x:c r="L321" s="108" t="n">
        <x:v>73</x:v>
      </x:c>
      <x:c r="M321" s="108" t="str">
        <x:v>沿用建议</x:v>
      </x:c>
      <x:c r="N321" s="108" t="n">
        <x:v>70</x:v>
      </x:c>
      <x:c r="O321" s="108" t="n">
        <x:v>86</x:v>
      </x:c>
      <x:c r="P321" s="108" t="n">
        <x:v>1</x:v>
      </x:c>
      <x:c r="Q321" s="91" t="str">
        <x:v>否</x:v>
      </x:c>
      <x:c r="R321" s="91" t="n">
        <x:v>3</x:v>
      </x:c>
      <x:c r="S321" s="91" t="str">
        <x:v>无</x:v>
      </x:c>
      <x:c r="T321" s="91" t="str">
        <x:v>模拟正常样本</x:v>
      </x:c>
      <x:c r="U321" s="91" t="n">
        <x:f>ABS(L321-N321)</x:f>
        <x:v>3</x:v>
      </x:c>
      <x:c r="V321" s="91" t="str">
        <x:f>IF(L321=K321,"沿用建议","人工调整")</x:f>
        <x:v>沿用建议</x:v>
      </x:c>
      <x:c r="W321" s="92" t="str">
        <x:f>IF(Q321="是","售罄风险",IF(P321&gt;3,"损耗风险","正常"))</x:f>
        <x:v>正常</x:v>
      </x:c>
    </x:row>
    <x:row r="322" ht="20" customHeight="1">
      <x:c r="A322" s="105" t="n">
        <x:v>46214</x:v>
      </x:c>
      <x:c r="B322" s="91" t="str">
        <x:v>模拟店 B（新开门店）</x:v>
      </x:c>
      <x:c r="C322" s="91" t="str">
        <x:v>新店</x:v>
      </x:c>
      <x:c r="D322" s="91" t="str">
        <x:v>粉蒸排骨</x:v>
      </x:c>
      <x:c r="E322" s="91" t="str">
        <x:v>晚市</x:v>
      </x:c>
      <x:c r="F322" s="91" t="str">
        <x:v>周末周六</x:v>
      </x:c>
      <x:c r="G322" s="91" t="str">
        <x:v>降温</x:v>
      </x:c>
      <x:c r="H322" s="91" t="str">
        <x:v>无</x:v>
      </x:c>
      <x:c r="I322" s="108" t="n">
        <x:v>36</x:v>
      </x:c>
      <x:c r="J322" s="108" t="n">
        <x:v>40</x:v>
      </x:c>
      <x:c r="K322" s="108" t="n">
        <x:v>40</x:v>
      </x:c>
      <x:c r="L322" s="108" t="n">
        <x:v>40</x:v>
      </x:c>
      <x:c r="M322" s="108" t="str">
        <x:v>沿用建议</x:v>
      </x:c>
      <x:c r="N322" s="108" t="n">
        <x:v>39</x:v>
      </x:c>
      <x:c r="O322" s="108" t="n">
        <x:v>52</x:v>
      </x:c>
      <x:c r="P322" s="108" t="n">
        <x:v>0</x:v>
      </x:c>
      <x:c r="Q322" s="91" t="str">
        <x:v>否</x:v>
      </x:c>
      <x:c r="R322" s="91" t="n">
        <x:v>2</x:v>
      </x:c>
      <x:c r="S322" s="91" t="str">
        <x:v>无</x:v>
      </x:c>
      <x:c r="T322" s="91" t="str">
        <x:v>模拟正常样本</x:v>
      </x:c>
      <x:c r="U322" s="91" t="n">
        <x:f>ABS(L322-N322)</x:f>
        <x:v>1</x:v>
      </x:c>
      <x:c r="V322" s="91" t="str">
        <x:f>IF(L322=K322,"沿用建议","人工调整")</x:f>
        <x:v>沿用建议</x:v>
      </x:c>
      <x:c r="W322" s="92" t="str">
        <x:f>IF(Q322="是","售罄风险",IF(P322&gt;3,"损耗风险","正常"))</x:f>
        <x:v>正常</x:v>
      </x:c>
    </x:row>
    <x:row r="323" ht="20" customHeight="1">
      <x:c r="A323" s="105" t="n">
        <x:v>46214</x:v>
      </x:c>
      <x:c r="B323" s="91" t="str">
        <x:v>模拟店 B（新开门店）</x:v>
      </x:c>
      <x:c r="C323" s="91" t="str">
        <x:v>新店</x:v>
      </x:c>
      <x:c r="D323" s="91" t="str">
        <x:v>桂花糖藕</x:v>
      </x:c>
      <x:c r="E323" s="91" t="str">
        <x:v>晚市</x:v>
      </x:c>
      <x:c r="F323" s="91" t="str">
        <x:v>周末周六</x:v>
      </x:c>
      <x:c r="G323" s="91" t="str">
        <x:v>降温</x:v>
      </x:c>
      <x:c r="H323" s="91" t="str">
        <x:v>无</x:v>
      </x:c>
      <x:c r="I323" s="108" t="n">
        <x:v>25</x:v>
      </x:c>
      <x:c r="J323" s="108" t="n">
        <x:v>29</x:v>
      </x:c>
      <x:c r="K323" s="108" t="n">
        <x:v>29</x:v>
      </x:c>
      <x:c r="L323" s="108" t="n">
        <x:v>29</x:v>
      </x:c>
      <x:c r="M323" s="108" t="str">
        <x:v>沿用建议</x:v>
      </x:c>
      <x:c r="N323" s="108" t="n">
        <x:v>23</x:v>
      </x:c>
      <x:c r="O323" s="108" t="n">
        <x:v>40</x:v>
      </x:c>
      <x:c r="P323" s="108" t="n">
        <x:v>5</x:v>
      </x:c>
      <x:c r="Q323" s="91" t="str">
        <x:v>否</x:v>
      </x:c>
      <x:c r="R323" s="91" t="n">
        <x:v>2</x:v>
      </x:c>
      <x:c r="S323" s="91" t="str">
        <x:v>无</x:v>
      </x:c>
      <x:c r="T323" s="91" t="str">
        <x:v>模拟正常样本</x:v>
      </x:c>
      <x:c r="U323" s="91" t="n">
        <x:f>ABS(L323-N323)</x:f>
        <x:v>6</x:v>
      </x:c>
      <x:c r="V323" s="91" t="str">
        <x:f>IF(L323=K323,"沿用建议","人工调整")</x:f>
        <x:v>沿用建议</x:v>
      </x:c>
      <x:c r="W323" s="92" t="str">
        <x:f>IF(Q323="是","售罄风险",IF(P323&gt;3,"损耗风险","正常"))</x:f>
        <x:v>损耗风险</x:v>
      </x:c>
    </x:row>
    <x:row r="324" ht="20" customHeight="1">
      <x:c r="A324" s="105" t="n">
        <x:v>46214</x:v>
      </x:c>
      <x:c r="B324" s="91" t="str">
        <x:v>模拟店 B（新开门店）</x:v>
      </x:c>
      <x:c r="C324" s="91" t="str">
        <x:v>新店</x:v>
      </x:c>
      <x:c r="D324" s="91" t="str">
        <x:v>藕夹</x:v>
      </x:c>
      <x:c r="E324" s="91" t="str">
        <x:v>晚市</x:v>
      </x:c>
      <x:c r="F324" s="91" t="str">
        <x:v>周末周六</x:v>
      </x:c>
      <x:c r="G324" s="91" t="str">
        <x:v>降温</x:v>
      </x:c>
      <x:c r="H324" s="91" t="str">
        <x:v>无</x:v>
      </x:c>
      <x:c r="I324" s="108" t="n">
        <x:v>30</x:v>
      </x:c>
      <x:c r="J324" s="108" t="n">
        <x:v>34</x:v>
      </x:c>
      <x:c r="K324" s="108" t="n">
        <x:v>34</x:v>
      </x:c>
      <x:c r="L324" s="108" t="n">
        <x:v>32</x:v>
      </x:c>
      <x:c r="M324" s="108" t="str">
        <x:v>商圈活动临时变化</x:v>
      </x:c>
      <x:c r="N324" s="108" t="n">
        <x:v>32</x:v>
      </x:c>
      <x:c r="O324" s="108" t="n">
        <x:v>48</x:v>
      </x:c>
      <x:c r="P324" s="108" t="n">
        <x:v>0</x:v>
      </x:c>
      <x:c r="Q324" s="91" t="str">
        <x:v>否</x:v>
      </x:c>
      <x:c r="R324" s="91" t="n">
        <x:v>2</x:v>
      </x:c>
      <x:c r="S324" s="91" t="str">
        <x:v>无</x:v>
      </x:c>
      <x:c r="T324" s="91" t="str">
        <x:v>模拟正常样本</x:v>
      </x:c>
      <x:c r="U324" s="91" t="n">
        <x:f>ABS(L324-N324)</x:f>
        <x:v>0</x:v>
      </x:c>
      <x:c r="V324" s="91" t="str">
        <x:f>IF(L324=K324,"沿用建议","人工调整")</x:f>
        <x:v>人工调整</x:v>
      </x:c>
      <x:c r="W324" s="92" t="str">
        <x:f>IF(Q324="是","售罄风险",IF(P324&gt;3,"损耗风险","正常"))</x:f>
        <x:v>正常</x:v>
      </x:c>
    </x:row>
    <x:row r="325" ht="20" customHeight="1">
      <x:c r="A325" s="105" t="n">
        <x:v>46214</x:v>
      </x:c>
      <x:c r="B325" s="91" t="str">
        <x:v>模拟店 C（社区门店）</x:v>
      </x:c>
      <x:c r="C325" s="91" t="str">
        <x:v>成长期</x:v>
      </x:c>
      <x:c r="D325" s="91" t="str">
        <x:v>筒骨煨藕汤</x:v>
      </x:c>
      <x:c r="E325" s="91" t="str">
        <x:v>晚市</x:v>
      </x:c>
      <x:c r="F325" s="91" t="str">
        <x:v>周末周六</x:v>
      </x:c>
      <x:c r="G325" s="91" t="str">
        <x:v>常温</x:v>
      </x:c>
      <x:c r="H325" s="91" t="str">
        <x:v>无</x:v>
      </x:c>
      <x:c r="I325" s="108" t="n">
        <x:v>65</x:v>
      </x:c>
      <x:c r="J325" s="108" t="n">
        <x:v>73</x:v>
      </x:c>
      <x:c r="K325" s="108" t="n">
        <x:v>73</x:v>
      </x:c>
      <x:c r="L325" s="108" t="n">
        <x:v>73</x:v>
      </x:c>
      <x:c r="M325" s="108" t="str">
        <x:v>沿用建议</x:v>
      </x:c>
      <x:c r="N325" s="108" t="n">
        <x:v>70</x:v>
      </x:c>
      <x:c r="O325" s="108" t="n">
        <x:v>84</x:v>
      </x:c>
      <x:c r="P325" s="108" t="n">
        <x:v>1</x:v>
      </x:c>
      <x:c r="Q325" s="91" t="str">
        <x:v>否</x:v>
      </x:c>
      <x:c r="R325" s="91" t="n">
        <x:v>3</x:v>
      </x:c>
      <x:c r="S325" s="91" t="str">
        <x:v>无</x:v>
      </x:c>
      <x:c r="T325" s="91" t="str">
        <x:v>模拟正常样本</x:v>
      </x:c>
      <x:c r="U325" s="91" t="n">
        <x:f>ABS(L325-N325)</x:f>
        <x:v>3</x:v>
      </x:c>
      <x:c r="V325" s="91" t="str">
        <x:f>IF(L325=K325,"沿用建议","人工调整")</x:f>
        <x:v>沿用建议</x:v>
      </x:c>
      <x:c r="W325" s="92" t="str">
        <x:f>IF(Q325="是","售罄风险",IF(P325&gt;3,"损耗风险","正常"))</x:f>
        <x:v>正常</x:v>
      </x:c>
    </x:row>
    <x:row r="326" ht="20" customHeight="1">
      <x:c r="A326" s="105" t="n">
        <x:v>46214</x:v>
      </x:c>
      <x:c r="B326" s="91" t="str">
        <x:v>模拟店 C（社区门店）</x:v>
      </x:c>
      <x:c r="C326" s="91" t="str">
        <x:v>成长期</x:v>
      </x:c>
      <x:c r="D326" s="91" t="str">
        <x:v>粉蒸排骨</x:v>
      </x:c>
      <x:c r="E326" s="91" t="str">
        <x:v>晚市</x:v>
      </x:c>
      <x:c r="F326" s="91" t="str">
        <x:v>周末周六</x:v>
      </x:c>
      <x:c r="G326" s="91" t="str">
        <x:v>常温</x:v>
      </x:c>
      <x:c r="H326" s="91" t="str">
        <x:v>无</x:v>
      </x:c>
      <x:c r="I326" s="108" t="n">
        <x:v>41</x:v>
      </x:c>
      <x:c r="J326" s="108" t="n">
        <x:v>45</x:v>
      </x:c>
      <x:c r="K326" s="108" t="n">
        <x:v>45</x:v>
      </x:c>
      <x:c r="L326" s="108" t="n">
        <x:v>45</x:v>
      </x:c>
      <x:c r="M326" s="108" t="str">
        <x:v>沿用建议</x:v>
      </x:c>
      <x:c r="N326" s="108" t="n">
        <x:v>38</x:v>
      </x:c>
      <x:c r="O326" s="108" t="n">
        <x:v>53</x:v>
      </x:c>
      <x:c r="P326" s="108" t="n">
        <x:v>5</x:v>
      </x:c>
      <x:c r="Q326" s="91" t="str">
        <x:v>否</x:v>
      </x:c>
      <x:c r="R326" s="91" t="n">
        <x:v>2</x:v>
      </x:c>
      <x:c r="S326" s="91" t="str">
        <x:v>无</x:v>
      </x:c>
      <x:c r="T326" s="91" t="str">
        <x:v>模拟正常样本</x:v>
      </x:c>
      <x:c r="U326" s="91" t="n">
        <x:f>ABS(L326-N326)</x:f>
        <x:v>7</x:v>
      </x:c>
      <x:c r="V326" s="91" t="str">
        <x:f>IF(L326=K326,"沿用建议","人工调整")</x:f>
        <x:v>沿用建议</x:v>
      </x:c>
      <x:c r="W326" s="92" t="str">
        <x:f>IF(Q326="是","售罄风险",IF(P326&gt;3,"损耗风险","正常"))</x:f>
        <x:v>损耗风险</x:v>
      </x:c>
    </x:row>
    <x:row r="327" ht="20" customHeight="1">
      <x:c r="A327" s="105" t="n">
        <x:v>46214</x:v>
      </x:c>
      <x:c r="B327" s="91" t="str">
        <x:v>模拟店 C（社区门店）</x:v>
      </x:c>
      <x:c r="C327" s="91" t="str">
        <x:v>成长期</x:v>
      </x:c>
      <x:c r="D327" s="91" t="str">
        <x:v>桂花糖藕</x:v>
      </x:c>
      <x:c r="E327" s="91" t="str">
        <x:v>晚市</x:v>
      </x:c>
      <x:c r="F327" s="91" t="str">
        <x:v>周末周六</x:v>
      </x:c>
      <x:c r="G327" s="91" t="str">
        <x:v>常温</x:v>
      </x:c>
      <x:c r="H327" s="91" t="str">
        <x:v>无</x:v>
      </x:c>
      <x:c r="I327" s="108" t="n">
        <x:v>27</x:v>
      </x:c>
      <x:c r="J327" s="108" t="n">
        <x:v>31</x:v>
      </x:c>
      <x:c r="K327" s="108" t="n">
        <x:v>31</x:v>
      </x:c>
      <x:c r="L327" s="108" t="n">
        <x:v>31</x:v>
      </x:c>
      <x:c r="M327" s="108" t="str">
        <x:v>沿用建议</x:v>
      </x:c>
      <x:c r="N327" s="108" t="n">
        <x:v>30</x:v>
      </x:c>
      <x:c r="O327" s="108" t="n">
        <x:v>42</x:v>
      </x:c>
      <x:c r="P327" s="108" t="n">
        <x:v>0</x:v>
      </x:c>
      <x:c r="Q327" s="91" t="str">
        <x:v>否</x:v>
      </x:c>
      <x:c r="R327" s="91" t="n">
        <x:v>3</x:v>
      </x:c>
      <x:c r="S327" s="91" t="str">
        <x:v>无</x:v>
      </x:c>
      <x:c r="T327" s="91" t="str">
        <x:v>模拟正常样本</x:v>
      </x:c>
      <x:c r="U327" s="91" t="n">
        <x:f>ABS(L327-N327)</x:f>
        <x:v>1</x:v>
      </x:c>
      <x:c r="V327" s="91" t="str">
        <x:f>IF(L327=K327,"沿用建议","人工调整")</x:f>
        <x:v>沿用建议</x:v>
      </x:c>
      <x:c r="W327" s="92" t="str">
        <x:f>IF(Q327="是","售罄风险",IF(P327&gt;3,"损耗风险","正常"))</x:f>
        <x:v>正常</x:v>
      </x:c>
    </x:row>
    <x:row r="328" ht="20" customHeight="1">
      <x:c r="A328" s="105" t="n">
        <x:v>46214</x:v>
      </x:c>
      <x:c r="B328" s="91" t="str">
        <x:v>模拟店 C（社区门店）</x:v>
      </x:c>
      <x:c r="C328" s="91" t="str">
        <x:v>成长期</x:v>
      </x:c>
      <x:c r="D328" s="91" t="str">
        <x:v>藕夹</x:v>
      </x:c>
      <x:c r="E328" s="91" t="str">
        <x:v>晚市</x:v>
      </x:c>
      <x:c r="F328" s="91" t="str">
        <x:v>周末周六</x:v>
      </x:c>
      <x:c r="G328" s="91" t="str">
        <x:v>常温</x:v>
      </x:c>
      <x:c r="H328" s="91" t="str">
        <x:v>无</x:v>
      </x:c>
      <x:c r="I328" s="108" t="n">
        <x:v>32</x:v>
      </x:c>
      <x:c r="J328" s="108" t="n">
        <x:v>36</x:v>
      </x:c>
      <x:c r="K328" s="108" t="n">
        <x:v>36</x:v>
      </x:c>
      <x:c r="L328" s="108" t="n">
        <x:v>36</x:v>
      </x:c>
      <x:c r="M328" s="108" t="str">
        <x:v>沿用建议</x:v>
      </x:c>
      <x:c r="N328" s="108" t="n">
        <x:v>34</x:v>
      </x:c>
      <x:c r="O328" s="108" t="n">
        <x:v>49</x:v>
      </x:c>
      <x:c r="P328" s="108" t="n">
        <x:v>0</x:v>
      </x:c>
      <x:c r="Q328" s="91" t="str">
        <x:v>否</x:v>
      </x:c>
      <x:c r="R328" s="91" t="n">
        <x:v>2</x:v>
      </x:c>
      <x:c r="S328" s="91" t="str">
        <x:v>无</x:v>
      </x:c>
      <x:c r="T328" s="91" t="str">
        <x:v>模拟正常样本</x:v>
      </x:c>
      <x:c r="U328" s="91" t="n">
        <x:f>ABS(L328-N328)</x:f>
        <x:v>2</x:v>
      </x:c>
      <x:c r="V328" s="91" t="str">
        <x:f>IF(L328=K328,"沿用建议","人工调整")</x:f>
        <x:v>沿用建议</x:v>
      </x:c>
      <x:c r="W328" s="92" t="str">
        <x:f>IF(Q328="是","售罄风险",IF(P328&gt;3,"损耗风险","正常"))</x:f>
        <x:v>正常</x:v>
      </x:c>
    </x:row>
    <x:row r="329" ht="20" customHeight="1">
      <x:c r="A329" s="105" t="n">
        <x:v>46215</x:v>
      </x:c>
      <x:c r="B329" s="91" t="str">
        <x:v>模拟店 A（成熟商圈）</x:v>
      </x:c>
      <x:c r="C329" s="91" t="str">
        <x:v>成熟店</x:v>
      </x:c>
      <x:c r="D329" s="91" t="str">
        <x:v>筒骨煨藕汤</x:v>
      </x:c>
      <x:c r="E329" s="91" t="str">
        <x:v>晚市</x:v>
      </x:c>
      <x:c r="F329" s="91" t="str">
        <x:v>周末周日</x:v>
      </x:c>
      <x:c r="G329" s="91" t="str">
        <x:v>降温</x:v>
      </x:c>
      <x:c r="H329" s="91" t="str">
        <x:v>团餐线索</x:v>
      </x:c>
      <x:c r="I329" s="108" t="n">
        <x:v>90</x:v>
      </x:c>
      <x:c r="J329" s="108" t="n">
        <x:v>100</x:v>
      </x:c>
      <x:c r="K329" s="108" t="n">
        <x:v>100</x:v>
      </x:c>
      <x:c r="L329" s="108" t="n">
        <x:v>98</x:v>
      </x:c>
      <x:c r="M329" s="108" t="str">
        <x:v>团餐尚未确认</x:v>
      </x:c>
      <x:c r="N329" s="108" t="n">
        <x:v>94</x:v>
      </x:c>
      <x:c r="O329" s="108" t="n">
        <x:v>110</x:v>
      </x:c>
      <x:c r="P329" s="108" t="n">
        <x:v>2</x:v>
      </x:c>
      <x:c r="Q329" s="91" t="str">
        <x:v>否</x:v>
      </x:c>
      <x:c r="R329" s="91" t="n">
        <x:v>2</x:v>
      </x:c>
      <x:c r="S329" s="91" t="str">
        <x:v>无</x:v>
      </x:c>
      <x:c r="T329" s="91" t="str">
        <x:v>模拟正常样本</x:v>
      </x:c>
      <x:c r="U329" s="91" t="n">
        <x:f>ABS(L329-N329)</x:f>
        <x:v>4</x:v>
      </x:c>
      <x:c r="V329" s="91" t="str">
        <x:f>IF(L329=K329,"沿用建议","人工调整")</x:f>
        <x:v>人工调整</x:v>
      </x:c>
      <x:c r="W329" s="92" t="str">
        <x:f>IF(Q329="是","售罄风险",IF(P329&gt;3,"损耗风险","正常"))</x:f>
        <x:v>正常</x:v>
      </x:c>
    </x:row>
    <x:row r="330" ht="20" customHeight="1">
      <x:c r="A330" s="105" t="n">
        <x:v>46215</x:v>
      </x:c>
      <x:c r="B330" s="91" t="str">
        <x:v>模拟店 A（成熟商圈）</x:v>
      </x:c>
      <x:c r="C330" s="91" t="str">
        <x:v>成熟店</x:v>
      </x:c>
      <x:c r="D330" s="91" t="str">
        <x:v>粉蒸排骨</x:v>
      </x:c>
      <x:c r="E330" s="91" t="str">
        <x:v>晚市</x:v>
      </x:c>
      <x:c r="F330" s="91" t="str">
        <x:v>周末周日</x:v>
      </x:c>
      <x:c r="G330" s="91" t="str">
        <x:v>降温</x:v>
      </x:c>
      <x:c r="H330" s="91" t="str">
        <x:v>团餐线索</x:v>
      </x:c>
      <x:c r="I330" s="108" t="n">
        <x:v>48</x:v>
      </x:c>
      <x:c r="J330" s="108" t="n">
        <x:v>52</x:v>
      </x:c>
      <x:c r="K330" s="108" t="n">
        <x:v>52</x:v>
      </x:c>
      <x:c r="L330" s="108" t="n">
        <x:v>52</x:v>
      </x:c>
      <x:c r="M330" s="108" t="str">
        <x:v>沿用建议</x:v>
      </x:c>
      <x:c r="N330" s="108" t="n">
        <x:v>48</x:v>
      </x:c>
      <x:c r="O330" s="108" t="n">
        <x:v>63</x:v>
      </x:c>
      <x:c r="P330" s="108" t="n">
        <x:v>2</x:v>
      </x:c>
      <x:c r="Q330" s="91" t="str">
        <x:v>否</x:v>
      </x:c>
      <x:c r="R330" s="91" t="n">
        <x:v>1</x:v>
      </x:c>
      <x:c r="S330" s="91" t="str">
        <x:v>无</x:v>
      </x:c>
      <x:c r="T330" s="91" t="str">
        <x:v>模拟正常样本</x:v>
      </x:c>
      <x:c r="U330" s="91" t="n">
        <x:f>ABS(L330-N330)</x:f>
        <x:v>4</x:v>
      </x:c>
      <x:c r="V330" s="91" t="str">
        <x:f>IF(L330=K330,"沿用建议","人工调整")</x:f>
        <x:v>沿用建议</x:v>
      </x:c>
      <x:c r="W330" s="92" t="str">
        <x:f>IF(Q330="是","售罄风险",IF(P330&gt;3,"损耗风险","正常"))</x:f>
        <x:v>正常</x:v>
      </x:c>
    </x:row>
    <x:row r="331" ht="20" customHeight="1">
      <x:c r="A331" s="105" t="n">
        <x:v>46215</x:v>
      </x:c>
      <x:c r="B331" s="91" t="str">
        <x:v>模拟店 A（成熟商圈）</x:v>
      </x:c>
      <x:c r="C331" s="91" t="str">
        <x:v>成熟店</x:v>
      </x:c>
      <x:c r="D331" s="91" t="str">
        <x:v>桂花糖藕</x:v>
      </x:c>
      <x:c r="E331" s="91" t="str">
        <x:v>晚市</x:v>
      </x:c>
      <x:c r="F331" s="91" t="str">
        <x:v>周末周日</x:v>
      </x:c>
      <x:c r="G331" s="91" t="str">
        <x:v>降温</x:v>
      </x:c>
      <x:c r="H331" s="91" t="str">
        <x:v>团餐线索</x:v>
      </x:c>
      <x:c r="I331" s="108" t="n">
        <x:v>36</x:v>
      </x:c>
      <x:c r="J331" s="108" t="n">
        <x:v>41</x:v>
      </x:c>
      <x:c r="K331" s="108" t="n">
        <x:v>41</x:v>
      </x:c>
      <x:c r="L331" s="108" t="n">
        <x:v>41</x:v>
      </x:c>
      <x:c r="M331" s="108" t="str">
        <x:v>沿用建议</x:v>
      </x:c>
      <x:c r="N331" s="108" t="n">
        <x:v>34</x:v>
      </x:c>
      <x:c r="O331" s="108" t="n">
        <x:v>51</x:v>
      </x:c>
      <x:c r="P331" s="108" t="n">
        <x:v>6</x:v>
      </x:c>
      <x:c r="Q331" s="91" t="str">
        <x:v>否</x:v>
      </x:c>
      <x:c r="R331" s="91" t="n">
        <x:v>0</x:v>
      </x:c>
      <x:c r="S331" s="91" t="str">
        <x:v>无</x:v>
      </x:c>
      <x:c r="T331" s="91" t="str">
        <x:v>模拟正常样本</x:v>
      </x:c>
      <x:c r="U331" s="91" t="n">
        <x:f>ABS(L331-N331)</x:f>
        <x:v>7</x:v>
      </x:c>
      <x:c r="V331" s="91" t="str">
        <x:f>IF(L331=K331,"沿用建议","人工调整")</x:f>
        <x:v>沿用建议</x:v>
      </x:c>
      <x:c r="W331" s="92" t="str">
        <x:f>IF(Q331="是","售罄风险",IF(P331&gt;3,"损耗风险","正常"))</x:f>
        <x:v>损耗风险</x:v>
      </x:c>
    </x:row>
    <x:row r="332" ht="20" customHeight="1">
      <x:c r="A332" s="105" t="n">
        <x:v>46215</x:v>
      </x:c>
      <x:c r="B332" s="91" t="str">
        <x:v>模拟店 A（成熟商圈）</x:v>
      </x:c>
      <x:c r="C332" s="91" t="str">
        <x:v>成熟店</x:v>
      </x:c>
      <x:c r="D332" s="91" t="str">
        <x:v>藕夹</x:v>
      </x:c>
      <x:c r="E332" s="91" t="str">
        <x:v>晚市</x:v>
      </x:c>
      <x:c r="F332" s="91" t="str">
        <x:v>周末周日</x:v>
      </x:c>
      <x:c r="G332" s="91" t="str">
        <x:v>降温</x:v>
      </x:c>
      <x:c r="H332" s="91" t="str">
        <x:v>团餐线索</x:v>
      </x:c>
      <x:c r="I332" s="108" t="n">
        <x:v>43</x:v>
      </x:c>
      <x:c r="J332" s="108" t="n">
        <x:v>48</x:v>
      </x:c>
      <x:c r="K332" s="108" t="n">
        <x:v>48</x:v>
      </x:c>
      <x:c r="L332" s="108" t="n">
        <x:v>48</x:v>
      </x:c>
      <x:c r="M332" s="108" t="str">
        <x:v>沿用建议</x:v>
      </x:c>
      <x:c r="N332" s="108" t="n">
        <x:v>40</x:v>
      </x:c>
      <x:c r="O332" s="108" t="n">
        <x:v>57</x:v>
      </x:c>
      <x:c r="P332" s="108" t="n">
        <x:v>6</x:v>
      </x:c>
      <x:c r="Q332" s="91" t="str">
        <x:v>否</x:v>
      </x:c>
      <x:c r="R332" s="91" t="n">
        <x:v>1</x:v>
      </x:c>
      <x:c r="S332" s="91" t="str">
        <x:v>无</x:v>
      </x:c>
      <x:c r="T332" s="91" t="str">
        <x:v>模拟正常样本</x:v>
      </x:c>
      <x:c r="U332" s="91" t="n">
        <x:f>ABS(L332-N332)</x:f>
        <x:v>8</x:v>
      </x:c>
      <x:c r="V332" s="91" t="str">
        <x:f>IF(L332=K332,"沿用建议","人工调整")</x:f>
        <x:v>沿用建议</x:v>
      </x:c>
      <x:c r="W332" s="92" t="str">
        <x:f>IF(Q332="是","售罄风险",IF(P332&gt;3,"损耗风险","正常"))</x:f>
        <x:v>损耗风险</x:v>
      </x:c>
    </x:row>
    <x:row r="333" ht="20" customHeight="1">
      <x:c r="A333" s="105" t="n">
        <x:v>46215</x:v>
      </x:c>
      <x:c r="B333" s="91" t="str">
        <x:v>模拟店 B（新开门店）</x:v>
      </x:c>
      <x:c r="C333" s="91" t="str">
        <x:v>新店</x:v>
      </x:c>
      <x:c r="D333" s="91" t="str">
        <x:v>筒骨煨藕汤</x:v>
      </x:c>
      <x:c r="E333" s="91" t="str">
        <x:v>晚市</x:v>
      </x:c>
      <x:c r="F333" s="91" t="str">
        <x:v>周末周日</x:v>
      </x:c>
      <x:c r="G333" s="91" t="str">
        <x:v>常温</x:v>
      </x:c>
      <x:c r="H333" s="91" t="str">
        <x:v>团餐线索</x:v>
      </x:c>
      <x:c r="I333" s="108" t="n">
        <x:v>61</x:v>
      </x:c>
      <x:c r="J333" s="108" t="n">
        <x:v>68</x:v>
      </x:c>
      <x:c r="K333" s="108" t="n">
        <x:v>68</x:v>
      </x:c>
      <x:c r="L333" s="108" t="n">
        <x:v>71</x:v>
      </x:c>
      <x:c r="M333" s="108" t="str">
        <x:v>团餐尚未确认</x:v>
      </x:c>
      <x:c r="N333" s="108" t="n">
        <x:v>58</x:v>
      </x:c>
      <x:c r="O333" s="108" t="n">
        <x:v>78</x:v>
      </x:c>
      <x:c r="P333" s="108" t="n">
        <x:v>11</x:v>
      </x:c>
      <x:c r="Q333" s="91" t="str">
        <x:v>否</x:v>
      </x:c>
      <x:c r="R333" s="91" t="n">
        <x:v>2</x:v>
      </x:c>
      <x:c r="S333" s="91" t="str">
        <x:v>无</x:v>
      </x:c>
      <x:c r="T333" s="91" t="str">
        <x:v>模拟正常样本</x:v>
      </x:c>
      <x:c r="U333" s="91" t="n">
        <x:f>ABS(L333-N333)</x:f>
        <x:v>13</x:v>
      </x:c>
      <x:c r="V333" s="91" t="str">
        <x:f>IF(L333=K333,"沿用建议","人工调整")</x:f>
        <x:v>人工调整</x:v>
      </x:c>
      <x:c r="W333" s="92" t="str">
        <x:f>IF(Q333="是","售罄风险",IF(P333&gt;3,"损耗风险","正常"))</x:f>
        <x:v>损耗风险</x:v>
      </x:c>
    </x:row>
    <x:row r="334" ht="20" customHeight="1">
      <x:c r="A334" s="105" t="n">
        <x:v>46215</x:v>
      </x:c>
      <x:c r="B334" s="91" t="str">
        <x:v>模拟店 B（新开门店）</x:v>
      </x:c>
      <x:c r="C334" s="91" t="str">
        <x:v>新店</x:v>
      </x:c>
      <x:c r="D334" s="91" t="str">
        <x:v>粉蒸排骨</x:v>
      </x:c>
      <x:c r="E334" s="91" t="str">
        <x:v>晚市</x:v>
      </x:c>
      <x:c r="F334" s="91" t="str">
        <x:v>周末周日</x:v>
      </x:c>
      <x:c r="G334" s="91" t="str">
        <x:v>常温</x:v>
      </x:c>
      <x:c r="H334" s="91" t="str">
        <x:v>团餐线索</x:v>
      </x:c>
      <x:c r="I334" s="108" t="n">
        <x:v>36</x:v>
      </x:c>
      <x:c r="J334" s="108" t="n">
        <x:v>40</x:v>
      </x:c>
      <x:c r="K334" s="108" t="n">
        <x:v>40</x:v>
      </x:c>
      <x:c r="L334" s="108" t="n">
        <x:v>40</x:v>
      </x:c>
      <x:c r="M334" s="108" t="str">
        <x:v>沿用建议</x:v>
      </x:c>
      <x:c r="N334" s="108" t="n">
        <x:v>33</x:v>
      </x:c>
      <x:c r="O334" s="108" t="n">
        <x:v>50</x:v>
      </x:c>
      <x:c r="P334" s="108" t="n">
        <x:v>5</x:v>
      </x:c>
      <x:c r="Q334" s="91" t="str">
        <x:v>否</x:v>
      </x:c>
      <x:c r="R334" s="91" t="n">
        <x:v>2</x:v>
      </x:c>
      <x:c r="S334" s="91" t="str">
        <x:v>无</x:v>
      </x:c>
      <x:c r="T334" s="91" t="str">
        <x:v>模拟正常样本</x:v>
      </x:c>
      <x:c r="U334" s="91" t="n">
        <x:f>ABS(L334-N334)</x:f>
        <x:v>7</x:v>
      </x:c>
      <x:c r="V334" s="91" t="str">
        <x:f>IF(L334=K334,"沿用建议","人工调整")</x:f>
        <x:v>沿用建议</x:v>
      </x:c>
      <x:c r="W334" s="92" t="str">
        <x:f>IF(Q334="是","售罄风险",IF(P334&gt;3,"损耗风险","正常"))</x:f>
        <x:v>损耗风险</x:v>
      </x:c>
    </x:row>
    <x:row r="335" ht="20" customHeight="1">
      <x:c r="A335" s="105" t="n">
        <x:v>46215</x:v>
      </x:c>
      <x:c r="B335" s="91" t="str">
        <x:v>模拟店 B（新开门店）</x:v>
      </x:c>
      <x:c r="C335" s="91" t="str">
        <x:v>新店</x:v>
      </x:c>
      <x:c r="D335" s="91" t="str">
        <x:v>桂花糖藕</x:v>
      </x:c>
      <x:c r="E335" s="91" t="str">
        <x:v>晚市</x:v>
      </x:c>
      <x:c r="F335" s="91" t="str">
        <x:v>周末周日</x:v>
      </x:c>
      <x:c r="G335" s="91" t="str">
        <x:v>常温</x:v>
      </x:c>
      <x:c r="H335" s="91" t="str">
        <x:v>团餐线索</x:v>
      </x:c>
      <x:c r="I335" s="108" t="n">
        <x:v>26</x:v>
      </x:c>
      <x:c r="J335" s="108" t="n">
        <x:v>30</x:v>
      </x:c>
      <x:c r="K335" s="108" t="n">
        <x:v>30</x:v>
      </x:c>
      <x:c r="L335" s="108" t="n">
        <x:v>30</x:v>
      </x:c>
      <x:c r="M335" s="108" t="str">
        <x:v>沿用建议</x:v>
      </x:c>
      <x:c r="N335" s="108" t="n">
        <x:v>24</x:v>
      </x:c>
      <x:c r="O335" s="108" t="n">
        <x:v>39</x:v>
      </x:c>
      <x:c r="P335" s="108" t="n">
        <x:v>5</x:v>
      </x:c>
      <x:c r="Q335" s="91" t="str">
        <x:v>否</x:v>
      </x:c>
      <x:c r="R335" s="91" t="n">
        <x:v>2</x:v>
      </x:c>
      <x:c r="S335" s="91" t="str">
        <x:v>无</x:v>
      </x:c>
      <x:c r="T335" s="91" t="str">
        <x:v>模拟正常样本</x:v>
      </x:c>
      <x:c r="U335" s="91" t="n">
        <x:f>ABS(L335-N335)</x:f>
        <x:v>6</x:v>
      </x:c>
      <x:c r="V335" s="91" t="str">
        <x:f>IF(L335=K335,"沿用建议","人工调整")</x:f>
        <x:v>沿用建议</x:v>
      </x:c>
      <x:c r="W335" s="92" t="str">
        <x:f>IF(Q335="是","售罄风险",IF(P335&gt;3,"损耗风险","正常"))</x:f>
        <x:v>损耗风险</x:v>
      </x:c>
    </x:row>
    <x:row r="336" ht="20" customHeight="1">
      <x:c r="A336" s="105" t="n">
        <x:v>46215</x:v>
      </x:c>
      <x:c r="B336" s="91" t="str">
        <x:v>模拟店 B（新开门店）</x:v>
      </x:c>
      <x:c r="C336" s="91" t="str">
        <x:v>新店</x:v>
      </x:c>
      <x:c r="D336" s="91" t="str">
        <x:v>藕夹</x:v>
      </x:c>
      <x:c r="E336" s="91" t="str">
        <x:v>晚市</x:v>
      </x:c>
      <x:c r="F336" s="91" t="str">
        <x:v>周末周日</x:v>
      </x:c>
      <x:c r="G336" s="91" t="str">
        <x:v>常温</x:v>
      </x:c>
      <x:c r="H336" s="91" t="str">
        <x:v>团餐线索</x:v>
      </x:c>
      <x:c r="I336" s="108" t="n">
        <x:v>29</x:v>
      </x:c>
      <x:c r="J336" s="108" t="n">
        <x:v>33</x:v>
      </x:c>
      <x:c r="K336" s="108" t="n">
        <x:v>33</x:v>
      </x:c>
      <x:c r="L336" s="108" t="n">
        <x:v>33</x:v>
      </x:c>
      <x:c r="M336" s="108" t="str">
        <x:v>沿用建议</x:v>
      </x:c>
      <x:c r="N336" s="108" t="n">
        <x:v>32</x:v>
      </x:c>
      <x:c r="O336" s="108" t="n">
        <x:v>41</x:v>
      </x:c>
      <x:c r="P336" s="108" t="n">
        <x:v>0</x:v>
      </x:c>
      <x:c r="Q336" s="91" t="str">
        <x:v>否</x:v>
      </x:c>
      <x:c r="R336" s="91" t="n">
        <x:v>3</x:v>
      </x:c>
      <x:c r="S336" s="91" t="str">
        <x:v>无</x:v>
      </x:c>
      <x:c r="T336" s="91" t="str">
        <x:v>模拟正常样本</x:v>
      </x:c>
      <x:c r="U336" s="91" t="n">
        <x:f>ABS(L336-N336)</x:f>
        <x:v>1</x:v>
      </x:c>
      <x:c r="V336" s="91" t="str">
        <x:f>IF(L336=K336,"沿用建议","人工调整")</x:f>
        <x:v>沿用建议</x:v>
      </x:c>
      <x:c r="W336" s="92" t="str">
        <x:f>IF(Q336="是","售罄风险",IF(P336&gt;3,"损耗风险","正常"))</x:f>
        <x:v>正常</x:v>
      </x:c>
    </x:row>
    <x:row r="337" ht="20" customHeight="1">
      <x:c r="A337" s="105" t="n">
        <x:v>46215</x:v>
      </x:c>
      <x:c r="B337" s="91" t="str">
        <x:v>模拟店 C（社区门店）</x:v>
      </x:c>
      <x:c r="C337" s="91" t="str">
        <x:v>成长期</x:v>
      </x:c>
      <x:c r="D337" s="91" t="str">
        <x:v>筒骨煨藕汤</x:v>
      </x:c>
      <x:c r="E337" s="91" t="str">
        <x:v>晚市</x:v>
      </x:c>
      <x:c r="F337" s="91" t="str">
        <x:v>周末周日</x:v>
      </x:c>
      <x:c r="G337" s="91" t="str">
        <x:v>降温</x:v>
      </x:c>
      <x:c r="H337" s="91" t="str">
        <x:v>团餐线索</x:v>
      </x:c>
      <x:c r="I337" s="108" t="n">
        <x:v>77</x:v>
      </x:c>
      <x:c r="J337" s="108" t="n">
        <x:v>86</x:v>
      </x:c>
      <x:c r="K337" s="108" t="n">
        <x:v>86</x:v>
      </x:c>
      <x:c r="L337" s="108" t="n">
        <x:v>89</x:v>
      </x:c>
      <x:c r="M337" s="108" t="str">
        <x:v>团餐尚未确认</x:v>
      </x:c>
      <x:c r="N337" s="108" t="n">
        <x:v>84</x:v>
      </x:c>
      <x:c r="O337" s="108" t="n">
        <x:v>99</x:v>
      </x:c>
      <x:c r="P337" s="108" t="n">
        <x:v>3</x:v>
      </x:c>
      <x:c r="Q337" s="91" t="str">
        <x:v>否</x:v>
      </x:c>
      <x:c r="R337" s="91" t="n">
        <x:v>0</x:v>
      </x:c>
      <x:c r="S337" s="91" t="str">
        <x:v>无</x:v>
      </x:c>
      <x:c r="T337" s="91" t="str">
        <x:v>模拟正常样本</x:v>
      </x:c>
      <x:c r="U337" s="91" t="n">
        <x:f>ABS(L337-N337)</x:f>
        <x:v>5</x:v>
      </x:c>
      <x:c r="V337" s="91" t="str">
        <x:f>IF(L337=K337,"沿用建议","人工调整")</x:f>
        <x:v>人工调整</x:v>
      </x:c>
      <x:c r="W337" s="92" t="str">
        <x:f>IF(Q337="是","售罄风险",IF(P337&gt;3,"损耗风险","正常"))</x:f>
        <x:v>正常</x:v>
      </x:c>
    </x:row>
    <x:row r="338" ht="20" customHeight="1">
      <x:c r="A338" s="105" t="n">
        <x:v>46215</x:v>
      </x:c>
      <x:c r="B338" s="91" t="str">
        <x:v>模拟店 C（社区门店）</x:v>
      </x:c>
      <x:c r="C338" s="91" t="str">
        <x:v>成长期</x:v>
      </x:c>
      <x:c r="D338" s="91" t="str">
        <x:v>粉蒸排骨</x:v>
      </x:c>
      <x:c r="E338" s="91" t="str">
        <x:v>晚市</x:v>
      </x:c>
      <x:c r="F338" s="91" t="str">
        <x:v>周末周日</x:v>
      </x:c>
      <x:c r="G338" s="91" t="str">
        <x:v>降温</x:v>
      </x:c>
      <x:c r="H338" s="91" t="str">
        <x:v>团餐线索</x:v>
      </x:c>
      <x:c r="I338" s="108" t="n">
        <x:v>40</x:v>
      </x:c>
      <x:c r="J338" s="108" t="n">
        <x:v>44</x:v>
      </x:c>
      <x:c r="K338" s="108" t="n">
        <x:v>44</x:v>
      </x:c>
      <x:c r="L338" s="108" t="n">
        <x:v>44</x:v>
      </x:c>
      <x:c r="M338" s="108" t="str">
        <x:v>沿用建议</x:v>
      </x:c>
      <x:c r="N338" s="108" t="n">
        <x:v>41</x:v>
      </x:c>
      <x:c r="O338" s="108" t="n">
        <x:v>53</x:v>
      </x:c>
      <x:c r="P338" s="108" t="n">
        <x:v>1</x:v>
      </x:c>
      <x:c r="Q338" s="91" t="str">
        <x:v>否</x:v>
      </x:c>
      <x:c r="R338" s="91" t="n">
        <x:v>3</x:v>
      </x:c>
      <x:c r="S338" s="91" t="str">
        <x:v>无</x:v>
      </x:c>
      <x:c r="T338" s="91" t="str">
        <x:v>模拟正常样本</x:v>
      </x:c>
      <x:c r="U338" s="91" t="n">
        <x:f>ABS(L338-N338)</x:f>
        <x:v>3</x:v>
      </x:c>
      <x:c r="V338" s="91" t="str">
        <x:f>IF(L338=K338,"沿用建议","人工调整")</x:f>
        <x:v>沿用建议</x:v>
      </x:c>
      <x:c r="W338" s="92" t="str">
        <x:f>IF(Q338="是","售罄风险",IF(P338&gt;3,"损耗风险","正常"))</x:f>
        <x:v>正常</x:v>
      </x:c>
    </x:row>
    <x:row r="339" ht="20" customHeight="1">
      <x:c r="A339" s="105" t="n">
        <x:v>46215</x:v>
      </x:c>
      <x:c r="B339" s="91" t="str">
        <x:v>模拟店 C（社区门店）</x:v>
      </x:c>
      <x:c r="C339" s="91" t="str">
        <x:v>成长期</x:v>
      </x:c>
      <x:c r="D339" s="91" t="str">
        <x:v>桂花糖藕</x:v>
      </x:c>
      <x:c r="E339" s="91" t="str">
        <x:v>晚市</x:v>
      </x:c>
      <x:c r="F339" s="91" t="str">
        <x:v>周末周日</x:v>
      </x:c>
      <x:c r="G339" s="91" t="str">
        <x:v>降温</x:v>
      </x:c>
      <x:c r="H339" s="91" t="str">
        <x:v>团餐线索</x:v>
      </x:c>
      <x:c r="I339" s="108" t="n">
        <x:v>28</x:v>
      </x:c>
      <x:c r="J339" s="108" t="n">
        <x:v>32</x:v>
      </x:c>
      <x:c r="K339" s="108" t="n">
        <x:v>32</x:v>
      </x:c>
      <x:c r="L339" s="108" t="n">
        <x:v>32</x:v>
      </x:c>
      <x:c r="M339" s="108" t="str">
        <x:v>沿用建议</x:v>
      </x:c>
      <x:c r="N339" s="108" t="n">
        <x:v>28</x:v>
      </x:c>
      <x:c r="O339" s="108" t="n">
        <x:v>42</x:v>
      </x:c>
      <x:c r="P339" s="108" t="n">
        <x:v>3</x:v>
      </x:c>
      <x:c r="Q339" s="91" t="str">
        <x:v>否</x:v>
      </x:c>
      <x:c r="R339" s="91" t="n">
        <x:v>1</x:v>
      </x:c>
      <x:c r="S339" s="91" t="str">
        <x:v>无</x:v>
      </x:c>
      <x:c r="T339" s="91" t="str">
        <x:v>模拟正常样本</x:v>
      </x:c>
      <x:c r="U339" s="91" t="n">
        <x:f>ABS(L339-N339)</x:f>
        <x:v>4</x:v>
      </x:c>
      <x:c r="V339" s="91" t="str">
        <x:f>IF(L339=K339,"沿用建议","人工调整")</x:f>
        <x:v>沿用建议</x:v>
      </x:c>
      <x:c r="W339" s="92" t="str">
        <x:f>IF(Q339="是","售罄风险",IF(P339&gt;3,"损耗风险","正常"))</x:f>
        <x:v>正常</x:v>
      </x:c>
    </x:row>
    <x:row r="340" ht="20" customHeight="1">
      <x:c r="A340" s="106" t="n">
        <x:v>46215</x:v>
      </x:c>
      <x:c r="B340" s="94" t="str">
        <x:v>模拟店 C（社区门店）</x:v>
      </x:c>
      <x:c r="C340" s="94" t="str">
        <x:v>成长期</x:v>
      </x:c>
      <x:c r="D340" s="94" t="str">
        <x:v>藕夹</x:v>
      </x:c>
      <x:c r="E340" s="94" t="str">
        <x:v>晚市</x:v>
      </x:c>
      <x:c r="F340" s="94" t="str">
        <x:v>周末周日</x:v>
      </x:c>
      <x:c r="G340" s="94" t="str">
        <x:v>降温</x:v>
      </x:c>
      <x:c r="H340" s="94" t="str">
        <x:v>团餐线索</x:v>
      </x:c>
      <x:c r="I340" s="109" t="n">
        <x:v>33</x:v>
      </x:c>
      <x:c r="J340" s="109" t="n">
        <x:v>37</x:v>
      </x:c>
      <x:c r="K340" s="109" t="n">
        <x:v>37</x:v>
      </x:c>
      <x:c r="L340" s="109" t="n">
        <x:v>37</x:v>
      </x:c>
      <x:c r="M340" s="109" t="str">
        <x:v>沿用建议</x:v>
      </x:c>
      <x:c r="N340" s="109" t="n">
        <x:v>35</x:v>
      </x:c>
      <x:c r="O340" s="109" t="n">
        <x:v>46</x:v>
      </x:c>
      <x:c r="P340" s="109" t="n">
        <x:v>0</x:v>
      </x:c>
      <x:c r="Q340" s="94" t="str">
        <x:v>否</x:v>
      </x:c>
      <x:c r="R340" s="94" t="n">
        <x:v>2</x:v>
      </x:c>
      <x:c r="S340" s="94" t="str">
        <x:v>无</x:v>
      </x:c>
      <x:c r="T340" s="94" t="str">
        <x:v>模拟正常样本</x:v>
      </x:c>
      <x:c r="U340" s="94" t="n">
        <x:f>ABS(L340-N340)</x:f>
        <x:v>2</x:v>
      </x:c>
      <x:c r="V340" s="94" t="str">
        <x:f>IF(L340=K340,"沿用建议","人工调整")</x:f>
        <x:v>沿用建议</x:v>
      </x:c>
      <x:c r="W340" s="95" t="str">
        <x:f>IF(Q340="是","售罄风险",IF(P340&gt;3,"损耗风险","正常"))</x:f>
        <x:v>正常</x:v>
      </x:c>
    </x:row>
  </x:sheetData>
  <x:mergeCells>
    <x:mergeCell ref="A1:W1"/>
    <x:mergeCell ref="A2:W2"/>
  </x:mergeCells>
  <x:conditionalFormatting sqref="Q5:Q340">
    <x:cfRule type="containsText" dxfId="0" priority="1" operator="containsText" text="是"/>
  </x:conditionalFormatting>
  <x:conditionalFormatting sqref="V5:V340">
    <x:cfRule type="containsText" dxfId="1" priority="2" operator="containsText" text="人工调整"/>
  </x:conditionalFormatting>
  <x:conditionalFormatting sqref="W5:W340">
    <x:cfRule type="containsText" dxfId="2" priority="3" operator="containsText" text="风险"/>
  </x:conditionalFormatting>
  <x:conditionalFormatting sqref="U5:U340">
    <x:cfRule type="dataBar" priority="4">
      <x:dataBar>
        <x:cfvo type="min"/>
        <x:cfvo type="max"/>
        <x:color rgb="FF19553D"/>
      </x:dataBar>
      <x:extLst>
        <x:ext xmlns:x14="http://schemas.microsoft.com/office/spreadsheetml/2009/9/main" uri="{B025F937-C7B1-47D3-B67F-A62EFF666E3E}">
          <x14:id>{DA179F71-85CE-98EF-F167-7506D3F8BCF2}</x14:id>
        </x:ext>
      </x:extLst>
    </x:cfRule>
  </x:conditionalFormatting>
  <x:dataValidations count="1">
    <x:dataValidation type="list" sqref="M5:M340">
      <x:formula1>"沿用建议,团餐尚未确认,商圈活动临时变化,库存约束,当班经验判断"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A179F71-85CE-98EF-F167-7506D3F8BCF2}">
            <x14:dataBar gradient="0">
              <x14:cfvo type="min"/>
              <x14:cfvo type="max"/>
              <x14:fillColor rgb="FF19553D"/>
            </x14:dataBar>
          </x14:cfRule>
          <xm:sqref>U5:U340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2" hidden="0" customWidth="1"/>
    <x:col min="5" max="5" width="10" hidden="0" customWidth="1"/>
    <x:col min="6" max="6" width="13" hidden="0" customWidth="1"/>
    <x:col min="7" max="7" width="35" hidden="0" customWidth="1"/>
    <x:col min="8" max="8" width="14" hidden="0" customWidth="1"/>
    <x:col min="9" max="9" width="11" hidden="0" customWidth="1"/>
    <x:col min="10" max="10" width="11" hidden="0" customWidth="1"/>
    <x:col min="11" max="11" width="14" hidden="0" customWidth="1"/>
    <x:col min="12" max="12" width="26" hidden="0" customWidth="1"/>
    <x:col min="13" max="13" width="10" hidden="0" customWidth="1"/>
    <x:col min="14" max="14" width="11" hidden="0" customWidth="1"/>
    <x:col min="15" max="15" width="12" hidden="0" customWidth="1"/>
    <x:col min="16" max="16" width="10" hidden="0" customWidth="1"/>
  </x:cols>
  <x:sheetData>
    <x:row r="1" ht="31" customHeight="1">
      <x:c r="A1" s="3" t="str">
        <x:v>异常处置日志｜模拟处置闭环</x:v>
      </x:c>
    </x:row>
    <x:row r="2" ht="28" customHeight="1">
      <x:c r="A2" s="7" t="str">
        <x:v>系统只提示“待复核”线索。食品安全、出品合格与否必须由有职责的人员现场确认。</x:v>
      </x:c>
    </x:row>
    <x:row r="4" ht="28" customHeight="1">
      <x:c r="A4" s="74" t="str">
        <x:v>日期</x:v>
      </x:c>
      <x:c r="B4" s="75" t="str">
        <x:v>事件编号</x:v>
      </x:c>
      <x:c r="C4" s="75" t="str">
        <x:v>模拟门店</x:v>
      </x:c>
      <x:c r="D4" s="75" t="str">
        <x:v>节点</x:v>
      </x:c>
      <x:c r="E4" s="75" t="str">
        <x:v>风险等级</x:v>
      </x:c>
      <x:c r="F4" s="75" t="str">
        <x:v>信号来源</x:v>
      </x:c>
      <x:c r="G4" s="75" t="str">
        <x:v>异常描述</x:v>
      </x:c>
      <x:c r="H4" s="75" t="str">
        <x:v>责任人</x:v>
      </x:c>
      <x:c r="I4" s="75" t="str">
        <x:v>SLA（分钟）</x:v>
      </x:c>
      <x:c r="J4" s="75" t="str">
        <x:v>闭环状态</x:v>
      </x:c>
      <x:c r="K4" s="75" t="str">
        <x:v>关闭耗时（分钟）</x:v>
      </x:c>
      <x:c r="L4" s="75" t="str">
        <x:v>复核结论</x:v>
      </x:c>
      <x:c r="M4" s="75" t="str">
        <x:v>严重度 S</x:v>
      </x:c>
      <x:c r="N4" s="75" t="str">
        <x:v>发生频度 O</x:v>
      </x:c>
      <x:c r="O4" s="75" t="str">
        <x:v>可探测性 D</x:v>
      </x:c>
      <x:c r="P4" s="76" t="str">
        <x:v>RPN</x:v>
      </x:c>
    </x:row>
    <x:row r="5">
      <x:c r="A5" s="104" t="n">
        <x:v>46190</x:v>
      </x:c>
      <x:c r="B5" s="88" t="str">
        <x:v>SIM-001</x:v>
      </x:c>
      <x:c r="C5" s="88" t="str">
        <x:v>模拟店 A（成熟商圈）</x:v>
      </x:c>
      <x:c r="D5" s="88" t="str">
        <x:v>保温节点</x:v>
      </x:c>
      <x:c r="E5" s="88" t="str">
        <x:v>高</x:v>
      </x:c>
      <x:c r="F5" s="88" t="str">
        <x:v>设备记录</x:v>
      </x:c>
      <x:c r="G5" s="88" t="str">
        <x:v>保温记录中断，待现场复核</x:v>
      </x:c>
      <x:c r="H5" s="88" t="str">
        <x:v>值班主管</x:v>
      </x:c>
      <x:c r="I5" s="107" t="n">
        <x:v>10</x:v>
      </x:c>
      <x:c r="J5" s="88" t="str">
        <x:v>已关闭</x:v>
      </x:c>
      <x:c r="K5" s="107" t="n">
        <x:v>17</x:v>
      </x:c>
      <x:c r="L5" s="88" t="str">
        <x:v>已留痕并完成现场复核</x:v>
      </x:c>
      <x:c r="M5" s="88" t="n">
        <x:v>4</x:v>
      </x:c>
      <x:c r="N5" s="88" t="n">
        <x:v>3</x:v>
      </x:c>
      <x:c r="O5" s="88" t="n">
        <x:v>4</x:v>
      </x:c>
      <x:c r="P5" s="110" t="n">
        <x:f>M5*N5*O5</x:f>
        <x:v>48</x:v>
      </x:c>
    </x:row>
    <x:row r="6">
      <x:c r="A6" s="105" t="n">
        <x:v>46191</x:v>
      </x:c>
      <x:c r="B6" s="91" t="str">
        <x:v>SIM-002</x:v>
      </x:c>
      <x:c r="C6" s="91" t="str">
        <x:v>模拟店 A（成熟商圈）</x:v>
      </x:c>
      <x:c r="D6" s="91" t="str">
        <x:v>出品抽检</x:v>
      </x:c>
      <x:c r="E6" s="91" t="str">
        <x:v>中</x:v>
      </x:c>
      <x:c r="F6" s="91" t="str">
        <x:v>图像比对</x:v>
      </x:c>
      <x:c r="G6" s="91" t="str">
        <x:v>分量偏离线索，需核对器具与 SOP</x:v>
      </x:c>
      <x:c r="H6" s="91" t="str">
        <x:v>厨师长</x:v>
      </x:c>
      <x:c r="I6" s="108" t="n">
        <x:v>20</x:v>
      </x:c>
      <x:c r="J6" s="91" t="str">
        <x:v>已关闭</x:v>
      </x:c>
      <x:c r="K6" s="108" t="n">
        <x:v>30</x:v>
      </x:c>
      <x:c r="L6" s="91" t="str">
        <x:v>已留痕并完成现场复核</x:v>
      </x:c>
      <x:c r="M6" s="91" t="n">
        <x:v>3</x:v>
      </x:c>
      <x:c r="N6" s="91" t="n">
        <x:v>3</x:v>
      </x:c>
      <x:c r="O6" s="91" t="n">
        <x:v>3</x:v>
      </x:c>
      <x:c r="P6" s="111" t="n">
        <x:f>M6*N6*O6</x:f>
        <x:v>27</x:v>
      </x:c>
    </x:row>
    <x:row r="7">
      <x:c r="A7" s="105" t="n">
        <x:v>46190</x:v>
      </x:c>
      <x:c r="B7" s="91" t="str">
        <x:v>SIM-003</x:v>
      </x:c>
      <x:c r="C7" s="91" t="str">
        <x:v>模拟店 B（新开门店）</x:v>
      </x:c>
      <x:c r="D7" s="91" t="str">
        <x:v>出品抽检</x:v>
      </x:c>
      <x:c r="E7" s="91" t="str">
        <x:v>中</x:v>
      </x:c>
      <x:c r="F7" s="91" t="str">
        <x:v>图像比对</x:v>
      </x:c>
      <x:c r="G7" s="91" t="str">
        <x:v>分量偏离线索，需核对器具与 SOP</x:v>
      </x:c>
      <x:c r="H7" s="91" t="str">
        <x:v>厨师长</x:v>
      </x:c>
      <x:c r="I7" s="108" t="n">
        <x:v>20</x:v>
      </x:c>
      <x:c r="J7" s="91" t="str">
        <x:v>已关闭</x:v>
      </x:c>
      <x:c r="K7" s="108" t="n">
        <x:v>33</x:v>
      </x:c>
      <x:c r="L7" s="91" t="str">
        <x:v>已留痕并完成现场复核</x:v>
      </x:c>
      <x:c r="M7" s="91" t="n">
        <x:v>3</x:v>
      </x:c>
      <x:c r="N7" s="91" t="n">
        <x:v>3</x:v>
      </x:c>
      <x:c r="O7" s="91" t="n">
        <x:v>3</x:v>
      </x:c>
      <x:c r="P7" s="111" t="n">
        <x:f>M7*N7*O7</x:f>
        <x:v>27</x:v>
      </x:c>
    </x:row>
    <x:row r="8">
      <x:c r="A8" s="105" t="n">
        <x:v>46191</x:v>
      </x:c>
      <x:c r="B8" s="91" t="str">
        <x:v>SIM-004</x:v>
      </x:c>
      <x:c r="C8" s="91" t="str">
        <x:v>模拟店 B（新开门店）</x:v>
      </x:c>
      <x:c r="D8" s="91" t="str">
        <x:v>收货留痕</x:v>
      </x:c>
      <x:c r="E8" s="91" t="str">
        <x:v>低</x:v>
      </x:c>
      <x:c r="F8" s="91" t="str">
        <x:v>表单完整性</x:v>
      </x:c>
      <x:c r="G8" s="91" t="str">
        <x:v>到货温度字段缺失，待补齐</x:v>
      </x:c>
      <x:c r="H8" s="91" t="str">
        <x:v>收货责任人</x:v>
      </x:c>
      <x:c r="I8" s="108" t="n">
        <x:v>60</x:v>
      </x:c>
      <x:c r="J8" s="91" t="str">
        <x:v>已关闭</x:v>
      </x:c>
      <x:c r="K8" s="108" t="n">
        <x:v>64</x:v>
      </x:c>
      <x:c r="L8" s="91" t="str">
        <x:v>已留痕并完成现场复核</x:v>
      </x:c>
      <x:c r="M8" s="91" t="n">
        <x:v>2</x:v>
      </x:c>
      <x:c r="N8" s="91" t="n">
        <x:v>2</x:v>
      </x:c>
      <x:c r="O8" s="91" t="n">
        <x:v>2</x:v>
      </x:c>
      <x:c r="P8" s="111" t="n">
        <x:f>M8*N8*O8</x:f>
        <x:v>8</x:v>
      </x:c>
    </x:row>
    <x:row r="9">
      <x:c r="A9" s="105" t="n">
        <x:v>46190</x:v>
      </x:c>
      <x:c r="B9" s="91" t="str">
        <x:v>SIM-005</x:v>
      </x:c>
      <x:c r="C9" s="91" t="str">
        <x:v>模拟店 C（社区门店）</x:v>
      </x:c>
      <x:c r="D9" s="91" t="str">
        <x:v>收货留痕</x:v>
      </x:c>
      <x:c r="E9" s="91" t="str">
        <x:v>低</x:v>
      </x:c>
      <x:c r="F9" s="91" t="str">
        <x:v>表单完整性</x:v>
      </x:c>
      <x:c r="G9" s="91" t="str">
        <x:v>到货温度字段缺失，待补齐</x:v>
      </x:c>
      <x:c r="H9" s="91" t="str">
        <x:v>收货责任人</x:v>
      </x:c>
      <x:c r="I9" s="108" t="n">
        <x:v>60</x:v>
      </x:c>
      <x:c r="J9" s="91" t="str">
        <x:v>已关闭</x:v>
      </x:c>
      <x:c r="K9" s="108" t="n">
        <x:v>67</x:v>
      </x:c>
      <x:c r="L9" s="91" t="str">
        <x:v>已留痕并完成现场复核</x:v>
      </x:c>
      <x:c r="M9" s="91" t="n">
        <x:v>2</x:v>
      </x:c>
      <x:c r="N9" s="91" t="n">
        <x:v>2</x:v>
      </x:c>
      <x:c r="O9" s="91" t="n">
        <x:v>2</x:v>
      </x:c>
      <x:c r="P9" s="111" t="n">
        <x:f>M9*N9*O9</x:f>
        <x:v>8</x:v>
      </x:c>
    </x:row>
    <x:row r="10">
      <x:c r="A10" s="105" t="n">
        <x:v>46191</x:v>
      </x:c>
      <x:c r="B10" s="91" t="str">
        <x:v>SIM-006</x:v>
      </x:c>
      <x:c r="C10" s="91" t="str">
        <x:v>模拟店 C（社区门店）</x:v>
      </x:c>
      <x:c r="D10" s="91" t="str">
        <x:v>保温节点</x:v>
      </x:c>
      <x:c r="E10" s="91" t="str">
        <x:v>高</x:v>
      </x:c>
      <x:c r="F10" s="91" t="str">
        <x:v>设备记录</x:v>
      </x:c>
      <x:c r="G10" s="91" t="str">
        <x:v>保温记录中断，待现场复核</x:v>
      </x:c>
      <x:c r="H10" s="91" t="str">
        <x:v>值班主管</x:v>
      </x:c>
      <x:c r="I10" s="108" t="n">
        <x:v>10</x:v>
      </x:c>
      <x:c r="J10" s="91" t="str">
        <x:v>已关闭</x:v>
      </x:c>
      <x:c r="K10" s="108" t="n">
        <x:v>20</x:v>
      </x:c>
      <x:c r="L10" s="91" t="str">
        <x:v>已留痕并完成现场复核</x:v>
      </x:c>
      <x:c r="M10" s="91" t="n">
        <x:v>4</x:v>
      </x:c>
      <x:c r="N10" s="91" t="n">
        <x:v>3</x:v>
      </x:c>
      <x:c r="O10" s="91" t="n">
        <x:v>4</x:v>
      </x:c>
      <x:c r="P10" s="111" t="n">
        <x:f>M10*N10*O10</x:f>
        <x:v>48</x:v>
      </x:c>
    </x:row>
    <x:row r="11">
      <x:c r="A11" s="105" t="n">
        <x:v>46197</x:v>
      </x:c>
      <x:c r="B11" s="91" t="str">
        <x:v>SIM-007</x:v>
      </x:c>
      <x:c r="C11" s="91" t="str">
        <x:v>模拟店 A（成熟商圈）</x:v>
      </x:c>
      <x:c r="D11" s="91" t="str">
        <x:v>出品抽检</x:v>
      </x:c>
      <x:c r="E11" s="91" t="str">
        <x:v>中</x:v>
      </x:c>
      <x:c r="F11" s="91" t="str">
        <x:v>图像比对</x:v>
      </x:c>
      <x:c r="G11" s="91" t="str">
        <x:v>分量偏离线索，需核对器具与 SOP</x:v>
      </x:c>
      <x:c r="H11" s="91" t="str">
        <x:v>厨师长</x:v>
      </x:c>
      <x:c r="I11" s="108" t="n">
        <x:v>20</x:v>
      </x:c>
      <x:c r="J11" s="91" t="str">
        <x:v>已关闭</x:v>
      </x:c>
      <x:c r="K11" s="108" t="n">
        <x:v>33</x:v>
      </x:c>
      <x:c r="L11" s="91" t="str">
        <x:v>已留痕并完成现场复核</x:v>
      </x:c>
      <x:c r="M11" s="91" t="n">
        <x:v>3</x:v>
      </x:c>
      <x:c r="N11" s="91" t="n">
        <x:v>3</x:v>
      </x:c>
      <x:c r="O11" s="91" t="n">
        <x:v>3</x:v>
      </x:c>
      <x:c r="P11" s="111" t="n">
        <x:f>M11*N11*O11</x:f>
        <x:v>27</x:v>
      </x:c>
    </x:row>
    <x:row r="12">
      <x:c r="A12" s="105" t="n">
        <x:v>46198</x:v>
      </x:c>
      <x:c r="B12" s="91" t="str">
        <x:v>SIM-008</x:v>
      </x:c>
      <x:c r="C12" s="91" t="str">
        <x:v>模拟店 A（成熟商圈）</x:v>
      </x:c>
      <x:c r="D12" s="91" t="str">
        <x:v>收货留痕</x:v>
      </x:c>
      <x:c r="E12" s="91" t="str">
        <x:v>低</x:v>
      </x:c>
      <x:c r="F12" s="91" t="str">
        <x:v>表单完整性</x:v>
      </x:c>
      <x:c r="G12" s="91" t="str">
        <x:v>到货温度字段缺失，待补齐</x:v>
      </x:c>
      <x:c r="H12" s="91" t="str">
        <x:v>收货责任人</x:v>
      </x:c>
      <x:c r="I12" s="108" t="n">
        <x:v>60</x:v>
      </x:c>
      <x:c r="J12" s="91" t="str">
        <x:v>已关闭</x:v>
      </x:c>
      <x:c r="K12" s="108" t="n">
        <x:v>64</x:v>
      </x:c>
      <x:c r="L12" s="91" t="str">
        <x:v>已留痕并完成现场复核</x:v>
      </x:c>
      <x:c r="M12" s="91" t="n">
        <x:v>2</x:v>
      </x:c>
      <x:c r="N12" s="91" t="n">
        <x:v>2</x:v>
      </x:c>
      <x:c r="O12" s="91" t="n">
        <x:v>2</x:v>
      </x:c>
      <x:c r="P12" s="111" t="n">
        <x:f>M12*N12*O12</x:f>
        <x:v>8</x:v>
      </x:c>
    </x:row>
    <x:row r="13">
      <x:c r="A13" s="105" t="n">
        <x:v>46197</x:v>
      </x:c>
      <x:c r="B13" s="91" t="str">
        <x:v>SIM-009</x:v>
      </x:c>
      <x:c r="C13" s="91" t="str">
        <x:v>模拟店 B（新开门店）</x:v>
      </x:c>
      <x:c r="D13" s="91" t="str">
        <x:v>收货留痕</x:v>
      </x:c>
      <x:c r="E13" s="91" t="str">
        <x:v>低</x:v>
      </x:c>
      <x:c r="F13" s="91" t="str">
        <x:v>表单完整性</x:v>
      </x:c>
      <x:c r="G13" s="91" t="str">
        <x:v>到货温度字段缺失，待补齐</x:v>
      </x:c>
      <x:c r="H13" s="91" t="str">
        <x:v>收货责任人</x:v>
      </x:c>
      <x:c r="I13" s="108" t="n">
        <x:v>60</x:v>
      </x:c>
      <x:c r="J13" s="91" t="str">
        <x:v>已关闭</x:v>
      </x:c>
      <x:c r="K13" s="108" t="n">
        <x:v>67</x:v>
      </x:c>
      <x:c r="L13" s="91" t="str">
        <x:v>已留痕并完成现场复核</x:v>
      </x:c>
      <x:c r="M13" s="91" t="n">
        <x:v>2</x:v>
      </x:c>
      <x:c r="N13" s="91" t="n">
        <x:v>2</x:v>
      </x:c>
      <x:c r="O13" s="91" t="n">
        <x:v>2</x:v>
      </x:c>
      <x:c r="P13" s="111" t="n">
        <x:f>M13*N13*O13</x:f>
        <x:v>8</x:v>
      </x:c>
    </x:row>
    <x:row r="14">
      <x:c r="A14" s="105" t="n">
        <x:v>46198</x:v>
      </x:c>
      <x:c r="B14" s="91" t="str">
        <x:v>SIM-010</x:v>
      </x:c>
      <x:c r="C14" s="91" t="str">
        <x:v>模拟店 B（新开门店）</x:v>
      </x:c>
      <x:c r="D14" s="91" t="str">
        <x:v>保温节点</x:v>
      </x:c>
      <x:c r="E14" s="91" t="str">
        <x:v>高</x:v>
      </x:c>
      <x:c r="F14" s="91" t="str">
        <x:v>设备记录</x:v>
      </x:c>
      <x:c r="G14" s="91" t="str">
        <x:v>保温记录中断，待现场复核</x:v>
      </x:c>
      <x:c r="H14" s="91" t="str">
        <x:v>值班主管</x:v>
      </x:c>
      <x:c r="I14" s="108" t="n">
        <x:v>10</x:v>
      </x:c>
      <x:c r="J14" s="91" t="str">
        <x:v>已关闭</x:v>
      </x:c>
      <x:c r="K14" s="108" t="n">
        <x:v>20</x:v>
      </x:c>
      <x:c r="L14" s="91" t="str">
        <x:v>已留痕并完成现场复核</x:v>
      </x:c>
      <x:c r="M14" s="91" t="n">
        <x:v>4</x:v>
      </x:c>
      <x:c r="N14" s="91" t="n">
        <x:v>3</x:v>
      </x:c>
      <x:c r="O14" s="91" t="n">
        <x:v>4</x:v>
      </x:c>
      <x:c r="P14" s="111" t="n">
        <x:f>M14*N14*O14</x:f>
        <x:v>48</x:v>
      </x:c>
    </x:row>
    <x:row r="15">
      <x:c r="A15" s="105" t="n">
        <x:v>46197</x:v>
      </x:c>
      <x:c r="B15" s="91" t="str">
        <x:v>SIM-011</x:v>
      </x:c>
      <x:c r="C15" s="91" t="str">
        <x:v>模拟店 C（社区门店）</x:v>
      </x:c>
      <x:c r="D15" s="91" t="str">
        <x:v>保温节点</x:v>
      </x:c>
      <x:c r="E15" s="91" t="str">
        <x:v>高</x:v>
      </x:c>
      <x:c r="F15" s="91" t="str">
        <x:v>设备记录</x:v>
      </x:c>
      <x:c r="G15" s="91" t="str">
        <x:v>保温记录中断，待现场复核</x:v>
      </x:c>
      <x:c r="H15" s="91" t="str">
        <x:v>值班主管</x:v>
      </x:c>
      <x:c r="I15" s="108" t="n">
        <x:v>10</x:v>
      </x:c>
      <x:c r="J15" s="91" t="str">
        <x:v>已关闭</x:v>
      </x:c>
      <x:c r="K15" s="108" t="n">
        <x:v>23</x:v>
      </x:c>
      <x:c r="L15" s="91" t="str">
        <x:v>已留痕并完成现场复核</x:v>
      </x:c>
      <x:c r="M15" s="91" t="n">
        <x:v>4</x:v>
      </x:c>
      <x:c r="N15" s="91" t="n">
        <x:v>3</x:v>
      </x:c>
      <x:c r="O15" s="91" t="n">
        <x:v>4</x:v>
      </x:c>
      <x:c r="P15" s="111" t="n">
        <x:f>M15*N15*O15</x:f>
        <x:v>48</x:v>
      </x:c>
    </x:row>
    <x:row r="16">
      <x:c r="A16" s="105" t="n">
        <x:v>46198</x:v>
      </x:c>
      <x:c r="B16" s="91" t="str">
        <x:v>SIM-012</x:v>
      </x:c>
      <x:c r="C16" s="91" t="str">
        <x:v>模拟店 C（社区门店）</x:v>
      </x:c>
      <x:c r="D16" s="91" t="str">
        <x:v>出品抽检</x:v>
      </x:c>
      <x:c r="E16" s="91" t="str">
        <x:v>中</x:v>
      </x:c>
      <x:c r="F16" s="91" t="str">
        <x:v>图像比对</x:v>
      </x:c>
      <x:c r="G16" s="91" t="str">
        <x:v>分量偏离线索，需核对器具与 SOP</x:v>
      </x:c>
      <x:c r="H16" s="91" t="str">
        <x:v>厨师长</x:v>
      </x:c>
      <x:c r="I16" s="108" t="n">
        <x:v>20</x:v>
      </x:c>
      <x:c r="J16" s="91" t="str">
        <x:v>已关闭</x:v>
      </x:c>
      <x:c r="K16" s="108" t="n">
        <x:v>24</x:v>
      </x:c>
      <x:c r="L16" s="91" t="str">
        <x:v>已留痕并完成现场复核</x:v>
      </x:c>
      <x:c r="M16" s="91" t="n">
        <x:v>3</x:v>
      </x:c>
      <x:c r="N16" s="91" t="n">
        <x:v>3</x:v>
      </x:c>
      <x:c r="O16" s="91" t="n">
        <x:v>3</x:v>
      </x:c>
      <x:c r="P16" s="111" t="n">
        <x:f>M16*N16*O16</x:f>
        <x:v>27</x:v>
      </x:c>
    </x:row>
    <x:row r="17">
      <x:c r="A17" s="105" t="n">
        <x:v>46204</x:v>
      </x:c>
      <x:c r="B17" s="91" t="str">
        <x:v>SIM-013</x:v>
      </x:c>
      <x:c r="C17" s="91" t="str">
        <x:v>模拟店 A（成熟商圈）</x:v>
      </x:c>
      <x:c r="D17" s="91" t="str">
        <x:v>收货留痕</x:v>
      </x:c>
      <x:c r="E17" s="91" t="str">
        <x:v>低</x:v>
      </x:c>
      <x:c r="F17" s="91" t="str">
        <x:v>表单完整性</x:v>
      </x:c>
      <x:c r="G17" s="91" t="str">
        <x:v>到货温度字段缺失，待补齐</x:v>
      </x:c>
      <x:c r="H17" s="91" t="str">
        <x:v>收货责任人</x:v>
      </x:c>
      <x:c r="I17" s="108" t="n">
        <x:v>60</x:v>
      </x:c>
      <x:c r="J17" s="91" t="str">
        <x:v>已关闭</x:v>
      </x:c>
      <x:c r="K17" s="108" t="n">
        <x:v>67</x:v>
      </x:c>
      <x:c r="L17" s="91" t="str">
        <x:v>已留痕并完成现场复核</x:v>
      </x:c>
      <x:c r="M17" s="91" t="n">
        <x:v>2</x:v>
      </x:c>
      <x:c r="N17" s="91" t="n">
        <x:v>2</x:v>
      </x:c>
      <x:c r="O17" s="91" t="n">
        <x:v>2</x:v>
      </x:c>
      <x:c r="P17" s="111" t="n">
        <x:f>M17*N17*O17</x:f>
        <x:v>8</x:v>
      </x:c>
    </x:row>
    <x:row r="18">
      <x:c r="A18" s="105" t="n">
        <x:v>46205</x:v>
      </x:c>
      <x:c r="B18" s="91" t="str">
        <x:v>SIM-014</x:v>
      </x:c>
      <x:c r="C18" s="91" t="str">
        <x:v>模拟店 A（成熟商圈）</x:v>
      </x:c>
      <x:c r="D18" s="91" t="str">
        <x:v>保温节点</x:v>
      </x:c>
      <x:c r="E18" s="91" t="str">
        <x:v>高</x:v>
      </x:c>
      <x:c r="F18" s="91" t="str">
        <x:v>设备记录</x:v>
      </x:c>
      <x:c r="G18" s="91" t="str">
        <x:v>保温记录中断，待现场复核</x:v>
      </x:c>
      <x:c r="H18" s="91" t="str">
        <x:v>值班主管</x:v>
      </x:c>
      <x:c r="I18" s="108" t="n">
        <x:v>10</x:v>
      </x:c>
      <x:c r="J18" s="91" t="str">
        <x:v>已关闭</x:v>
      </x:c>
      <x:c r="K18" s="108" t="n">
        <x:v>20</x:v>
      </x:c>
      <x:c r="L18" s="91" t="str">
        <x:v>已留痕并完成现场复核</x:v>
      </x:c>
      <x:c r="M18" s="91" t="n">
        <x:v>4</x:v>
      </x:c>
      <x:c r="N18" s="91" t="n">
        <x:v>3</x:v>
      </x:c>
      <x:c r="O18" s="91" t="n">
        <x:v>4</x:v>
      </x:c>
      <x:c r="P18" s="111" t="n">
        <x:f>M18*N18*O18</x:f>
        <x:v>48</x:v>
      </x:c>
    </x:row>
    <x:row r="19">
      <x:c r="A19" s="105" t="n">
        <x:v>46204</x:v>
      </x:c>
      <x:c r="B19" s="91" t="str">
        <x:v>SIM-015</x:v>
      </x:c>
      <x:c r="C19" s="91" t="str">
        <x:v>模拟店 B（新开门店）</x:v>
      </x:c>
      <x:c r="D19" s="91" t="str">
        <x:v>保温节点</x:v>
      </x:c>
      <x:c r="E19" s="91" t="str">
        <x:v>高</x:v>
      </x:c>
      <x:c r="F19" s="91" t="str">
        <x:v>设备记录</x:v>
      </x:c>
      <x:c r="G19" s="91" t="str">
        <x:v>保温记录中断，待现场复核</x:v>
      </x:c>
      <x:c r="H19" s="91" t="str">
        <x:v>值班主管</x:v>
      </x:c>
      <x:c r="I19" s="108" t="n">
        <x:v>10</x:v>
      </x:c>
      <x:c r="J19" s="91" t="str">
        <x:v>已关闭</x:v>
      </x:c>
      <x:c r="K19" s="108" t="n">
        <x:v>23</x:v>
      </x:c>
      <x:c r="L19" s="91" t="str">
        <x:v>已留痕并完成现场复核</x:v>
      </x:c>
      <x:c r="M19" s="91" t="n">
        <x:v>4</x:v>
      </x:c>
      <x:c r="N19" s="91" t="n">
        <x:v>3</x:v>
      </x:c>
      <x:c r="O19" s="91" t="n">
        <x:v>4</x:v>
      </x:c>
      <x:c r="P19" s="111" t="n">
        <x:f>M19*N19*O19</x:f>
        <x:v>48</x:v>
      </x:c>
    </x:row>
    <x:row r="20">
      <x:c r="A20" s="105" t="n">
        <x:v>46205</x:v>
      </x:c>
      <x:c r="B20" s="91" t="str">
        <x:v>SIM-016</x:v>
      </x:c>
      <x:c r="C20" s="91" t="str">
        <x:v>模拟店 B（新开门店）</x:v>
      </x:c>
      <x:c r="D20" s="91" t="str">
        <x:v>出品抽检</x:v>
      </x:c>
      <x:c r="E20" s="91" t="str">
        <x:v>中</x:v>
      </x:c>
      <x:c r="F20" s="91" t="str">
        <x:v>图像比对</x:v>
      </x:c>
      <x:c r="G20" s="91" t="str">
        <x:v>分量偏离线索，需核对器具与 SOP</x:v>
      </x:c>
      <x:c r="H20" s="91" t="str">
        <x:v>厨师长</x:v>
      </x:c>
      <x:c r="I20" s="108" t="n">
        <x:v>20</x:v>
      </x:c>
      <x:c r="J20" s="91" t="str">
        <x:v>已关闭</x:v>
      </x:c>
      <x:c r="K20" s="108" t="n">
        <x:v>24</x:v>
      </x:c>
      <x:c r="L20" s="91" t="str">
        <x:v>已留痕并完成现场复核</x:v>
      </x:c>
      <x:c r="M20" s="91" t="n">
        <x:v>3</x:v>
      </x:c>
      <x:c r="N20" s="91" t="n">
        <x:v>3</x:v>
      </x:c>
      <x:c r="O20" s="91" t="n">
        <x:v>3</x:v>
      </x:c>
      <x:c r="P20" s="111" t="n">
        <x:f>M20*N20*O20</x:f>
        <x:v>27</x:v>
      </x:c>
    </x:row>
    <x:row r="21">
      <x:c r="A21" s="105" t="n">
        <x:v>46204</x:v>
      </x:c>
      <x:c r="B21" s="91" t="str">
        <x:v>SIM-017</x:v>
      </x:c>
      <x:c r="C21" s="91" t="str">
        <x:v>模拟店 C（社区门店）</x:v>
      </x:c>
      <x:c r="D21" s="91" t="str">
        <x:v>出品抽检</x:v>
      </x:c>
      <x:c r="E21" s="91" t="str">
        <x:v>中</x:v>
      </x:c>
      <x:c r="F21" s="91" t="str">
        <x:v>图像比对</x:v>
      </x:c>
      <x:c r="G21" s="91" t="str">
        <x:v>分量偏离线索，需核对器具与 SOP</x:v>
      </x:c>
      <x:c r="H21" s="91" t="str">
        <x:v>厨师长</x:v>
      </x:c>
      <x:c r="I21" s="108" t="n">
        <x:v>20</x:v>
      </x:c>
      <x:c r="J21" s="91" t="str">
        <x:v>已关闭</x:v>
      </x:c>
      <x:c r="K21" s="108" t="n">
        <x:v>27</x:v>
      </x:c>
      <x:c r="L21" s="91" t="str">
        <x:v>已留痕并完成现场复核</x:v>
      </x:c>
      <x:c r="M21" s="91" t="n">
        <x:v>3</x:v>
      </x:c>
      <x:c r="N21" s="91" t="n">
        <x:v>3</x:v>
      </x:c>
      <x:c r="O21" s="91" t="n">
        <x:v>3</x:v>
      </x:c>
      <x:c r="P21" s="111" t="n">
        <x:f>M21*N21*O21</x:f>
        <x:v>27</x:v>
      </x:c>
    </x:row>
    <x:row r="22">
      <x:c r="A22" s="105" t="n">
        <x:v>46205</x:v>
      </x:c>
      <x:c r="B22" s="91" t="str">
        <x:v>SIM-018</x:v>
      </x:c>
      <x:c r="C22" s="91" t="str">
        <x:v>模拟店 C（社区门店）</x:v>
      </x:c>
      <x:c r="D22" s="91" t="str">
        <x:v>收货留痕</x:v>
      </x:c>
      <x:c r="E22" s="91" t="str">
        <x:v>低</x:v>
      </x:c>
      <x:c r="F22" s="91" t="str">
        <x:v>表单完整性</x:v>
      </x:c>
      <x:c r="G22" s="91" t="str">
        <x:v>到货温度字段缺失，待补齐</x:v>
      </x:c>
      <x:c r="H22" s="91" t="str">
        <x:v>收货责任人</x:v>
      </x:c>
      <x:c r="I22" s="108" t="n">
        <x:v>60</x:v>
      </x:c>
      <x:c r="J22" s="91" t="str">
        <x:v>已关闭</x:v>
      </x:c>
      <x:c r="K22" s="108" t="n">
        <x:v>70</x:v>
      </x:c>
      <x:c r="L22" s="91" t="str">
        <x:v>已留痕并完成现场复核</x:v>
      </x:c>
      <x:c r="M22" s="91" t="n">
        <x:v>2</x:v>
      </x:c>
      <x:c r="N22" s="91" t="n">
        <x:v>2</x:v>
      </x:c>
      <x:c r="O22" s="91" t="n">
        <x:v>2</x:v>
      </x:c>
      <x:c r="P22" s="111" t="n">
        <x:f>M22*N22*O22</x:f>
        <x:v>8</x:v>
      </x:c>
    </x:row>
    <x:row r="23">
      <x:c r="A23" s="105" t="n">
        <x:v>46211</x:v>
      </x:c>
      <x:c r="B23" s="91" t="str">
        <x:v>SIM-019</x:v>
      </x:c>
      <x:c r="C23" s="91" t="str">
        <x:v>模拟店 A（成熟商圈）</x:v>
      </x:c>
      <x:c r="D23" s="91" t="str">
        <x:v>保温节点</x:v>
      </x:c>
      <x:c r="E23" s="91" t="str">
        <x:v>高</x:v>
      </x:c>
      <x:c r="F23" s="91" t="str">
        <x:v>设备记录</x:v>
      </x:c>
      <x:c r="G23" s="91" t="str">
        <x:v>保温记录中断，待现场复核</x:v>
      </x:c>
      <x:c r="H23" s="91" t="str">
        <x:v>值班主管</x:v>
      </x:c>
      <x:c r="I23" s="108" t="n">
        <x:v>10</x:v>
      </x:c>
      <x:c r="J23" s="91" t="str">
        <x:v>已关闭</x:v>
      </x:c>
      <x:c r="K23" s="108" t="n">
        <x:v>23</x:v>
      </x:c>
      <x:c r="L23" s="91" t="str">
        <x:v>已留痕并完成现场复核</x:v>
      </x:c>
      <x:c r="M23" s="91" t="n">
        <x:v>4</x:v>
      </x:c>
      <x:c r="N23" s="91" t="n">
        <x:v>3</x:v>
      </x:c>
      <x:c r="O23" s="91" t="n">
        <x:v>4</x:v>
      </x:c>
      <x:c r="P23" s="111" t="n">
        <x:f>M23*N23*O23</x:f>
        <x:v>48</x:v>
      </x:c>
    </x:row>
    <x:row r="24">
      <x:c r="A24" s="105" t="n">
        <x:v>46212</x:v>
      </x:c>
      <x:c r="B24" s="91" t="str">
        <x:v>SIM-020</x:v>
      </x:c>
      <x:c r="C24" s="91" t="str">
        <x:v>模拟店 A（成熟商圈）</x:v>
      </x:c>
      <x:c r="D24" s="91" t="str">
        <x:v>出品抽检</x:v>
      </x:c>
      <x:c r="E24" s="91" t="str">
        <x:v>中</x:v>
      </x:c>
      <x:c r="F24" s="91" t="str">
        <x:v>图像比对</x:v>
      </x:c>
      <x:c r="G24" s="91" t="str">
        <x:v>分量偏离线索，需核对器具与 SOP</x:v>
      </x:c>
      <x:c r="H24" s="91" t="str">
        <x:v>厨师长</x:v>
      </x:c>
      <x:c r="I24" s="108" t="n">
        <x:v>20</x:v>
      </x:c>
      <x:c r="J24" s="91" t="str">
        <x:v>已关闭</x:v>
      </x:c>
      <x:c r="K24" s="108" t="n">
        <x:v>24</x:v>
      </x:c>
      <x:c r="L24" s="91" t="str">
        <x:v>已留痕并完成现场复核</x:v>
      </x:c>
      <x:c r="M24" s="91" t="n">
        <x:v>3</x:v>
      </x:c>
      <x:c r="N24" s="91" t="n">
        <x:v>3</x:v>
      </x:c>
      <x:c r="O24" s="91" t="n">
        <x:v>3</x:v>
      </x:c>
      <x:c r="P24" s="111" t="n">
        <x:f>M24*N24*O24</x:f>
        <x:v>27</x:v>
      </x:c>
    </x:row>
    <x:row r="25">
      <x:c r="A25" s="105" t="n">
        <x:v>46211</x:v>
      </x:c>
      <x:c r="B25" s="91" t="str">
        <x:v>SIM-021</x:v>
      </x:c>
      <x:c r="C25" s="91" t="str">
        <x:v>模拟店 B（新开门店）</x:v>
      </x:c>
      <x:c r="D25" s="91" t="str">
        <x:v>出品抽检</x:v>
      </x:c>
      <x:c r="E25" s="91" t="str">
        <x:v>中</x:v>
      </x:c>
      <x:c r="F25" s="91" t="str">
        <x:v>图像比对</x:v>
      </x:c>
      <x:c r="G25" s="91" t="str">
        <x:v>分量偏离线索，需核对器具与 SOP</x:v>
      </x:c>
      <x:c r="H25" s="91" t="str">
        <x:v>厨师长</x:v>
      </x:c>
      <x:c r="I25" s="108" t="n">
        <x:v>20</x:v>
      </x:c>
      <x:c r="J25" s="91" t="str">
        <x:v>待复核</x:v>
      </x:c>
      <x:c r="K25" s="108" t="str"/>
      <x:c r="L25" s="91" t="str">
        <x:v>等待当班负责人复核</x:v>
      </x:c>
      <x:c r="M25" s="91" t="n">
        <x:v>3</x:v>
      </x:c>
      <x:c r="N25" s="91" t="n">
        <x:v>3</x:v>
      </x:c>
      <x:c r="O25" s="91" t="n">
        <x:v>3</x:v>
      </x:c>
      <x:c r="P25" s="111" t="n">
        <x:f>M25*N25*O25</x:f>
        <x:v>27</x:v>
      </x:c>
    </x:row>
    <x:row r="26">
      <x:c r="A26" s="105" t="n">
        <x:v>46212</x:v>
      </x:c>
      <x:c r="B26" s="91" t="str">
        <x:v>SIM-022</x:v>
      </x:c>
      <x:c r="C26" s="91" t="str">
        <x:v>模拟店 B（新开门店）</x:v>
      </x:c>
      <x:c r="D26" s="91" t="str">
        <x:v>收货留痕</x:v>
      </x:c>
      <x:c r="E26" s="91" t="str">
        <x:v>低</x:v>
      </x:c>
      <x:c r="F26" s="91" t="str">
        <x:v>表单完整性</x:v>
      </x:c>
      <x:c r="G26" s="91" t="str">
        <x:v>到货温度字段缺失，待补齐</x:v>
      </x:c>
      <x:c r="H26" s="91" t="str">
        <x:v>收货责任人</x:v>
      </x:c>
      <x:c r="I26" s="108" t="n">
        <x:v>60</x:v>
      </x:c>
      <x:c r="J26" s="91" t="str">
        <x:v>已关闭</x:v>
      </x:c>
      <x:c r="K26" s="108" t="n">
        <x:v>70</x:v>
      </x:c>
      <x:c r="L26" s="91" t="str">
        <x:v>已留痕并完成现场复核</x:v>
      </x:c>
      <x:c r="M26" s="91" t="n">
        <x:v>2</x:v>
      </x:c>
      <x:c r="N26" s="91" t="n">
        <x:v>2</x:v>
      </x:c>
      <x:c r="O26" s="91" t="n">
        <x:v>2</x:v>
      </x:c>
      <x:c r="P26" s="111" t="n">
        <x:f>M26*N26*O26</x:f>
        <x:v>8</x:v>
      </x:c>
    </x:row>
    <x:row r="27">
      <x:c r="A27" s="105" t="n">
        <x:v>46211</x:v>
      </x:c>
      <x:c r="B27" s="91" t="str">
        <x:v>SIM-023</x:v>
      </x:c>
      <x:c r="C27" s="91" t="str">
        <x:v>模拟店 C（社区门店）</x:v>
      </x:c>
      <x:c r="D27" s="91" t="str">
        <x:v>收货留痕</x:v>
      </x:c>
      <x:c r="E27" s="91" t="str">
        <x:v>低</x:v>
      </x:c>
      <x:c r="F27" s="91" t="str">
        <x:v>表单完整性</x:v>
      </x:c>
      <x:c r="G27" s="91" t="str">
        <x:v>到货温度字段缺失，待补齐</x:v>
      </x:c>
      <x:c r="H27" s="91" t="str">
        <x:v>收货责任人</x:v>
      </x:c>
      <x:c r="I27" s="108" t="n">
        <x:v>60</x:v>
      </x:c>
      <x:c r="J27" s="91" t="str">
        <x:v>已关闭</x:v>
      </x:c>
      <x:c r="K27" s="108" t="n">
        <x:v>73</x:v>
      </x:c>
      <x:c r="L27" s="91" t="str">
        <x:v>已留痕并完成现场复核</x:v>
      </x:c>
      <x:c r="M27" s="91" t="n">
        <x:v>2</x:v>
      </x:c>
      <x:c r="N27" s="91" t="n">
        <x:v>2</x:v>
      </x:c>
      <x:c r="O27" s="91" t="n">
        <x:v>2</x:v>
      </x:c>
      <x:c r="P27" s="111" t="n">
        <x:f>M27*N27*O27</x:f>
        <x:v>8</x:v>
      </x:c>
    </x:row>
    <x:row r="28">
      <x:c r="A28" s="106" t="n">
        <x:v>46212</x:v>
      </x:c>
      <x:c r="B28" s="94" t="str">
        <x:v>SIM-024</x:v>
      </x:c>
      <x:c r="C28" s="94" t="str">
        <x:v>模拟店 C（社区门店）</x:v>
      </x:c>
      <x:c r="D28" s="94" t="str">
        <x:v>保温节点</x:v>
      </x:c>
      <x:c r="E28" s="94" t="str">
        <x:v>高</x:v>
      </x:c>
      <x:c r="F28" s="94" t="str">
        <x:v>设备记录</x:v>
      </x:c>
      <x:c r="G28" s="94" t="str">
        <x:v>保温记录中断，待现场复核</x:v>
      </x:c>
      <x:c r="H28" s="94" t="str">
        <x:v>值班主管</x:v>
      </x:c>
      <x:c r="I28" s="109" t="n">
        <x:v>10</x:v>
      </x:c>
      <x:c r="J28" s="94" t="str">
        <x:v>待复核</x:v>
      </x:c>
      <x:c r="K28" s="109" t="str"/>
      <x:c r="L28" s="94" t="str">
        <x:v>等待当班负责人复核</x:v>
      </x:c>
      <x:c r="M28" s="94" t="n">
        <x:v>4</x:v>
      </x:c>
      <x:c r="N28" s="94" t="n">
        <x:v>3</x:v>
      </x:c>
      <x:c r="O28" s="94" t="n">
        <x:v>4</x:v>
      </x:c>
      <x:c r="P28" s="112" t="n">
        <x:f>M28*N28*O28</x:f>
        <x:v>48</x:v>
      </x:c>
    </x:row>
  </x:sheetData>
  <x:mergeCells>
    <x:mergeCell ref="A1:P1"/>
    <x:mergeCell ref="A2:P2"/>
  </x:mergeCells>
  <x:conditionalFormatting sqref="J5:J28">
    <x:cfRule type="containsText" dxfId="3" priority="1" operator="containsText" text="待复核"/>
  </x:conditionalFormatting>
  <x:conditionalFormatting sqref="P5:P28">
    <x:cfRule type="cellIs" dxfId="4" priority="2" operator="greaterThanOrEqual">
      <x:formula>36</x:formula>
    </x:cfRule>
  </x:conditionalFormatting>
  <x:dataValidations count="1">
    <x:dataValidation type="list" sqref="J5:J28">
      <x:formula1>"待确认,处理中,待复核,已关闭"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6" hidden="0" customWidth="1"/>
    <x:col min="3" max="3" width="16" hidden="0" customWidth="1"/>
    <x:col min="4" max="4" width="24" hidden="0" customWidth="1"/>
    <x:col min="5" max="5" width="22" hidden="0" customWidth="1"/>
    <x:col min="6" max="6" width="34" hidden="0" customWidth="1"/>
  </x:cols>
  <x:sheetData>
    <x:row r="1" ht="31" customHeight="1">
      <x:c r="A1" s="3" t="str">
        <x:v>数据字典｜从数据输入到可追溯建议</x:v>
      </x:c>
    </x:row>
    <x:row r="2" ht="28" customHeight="1">
      <x:c r="A2" s="7" t="str">
        <x:v>该页定义的是未来接入 POS、库存、巡检、设备和反馈系统时的字段口径，不代表来菜已有全量数据。</x:v>
      </x:c>
    </x:row>
    <x:row r="4" ht="28" customHeight="1">
      <x:c r="A4" s="74" t="str">
        <x:v>字段</x:v>
      </x:c>
      <x:c r="B4" s="75" t="str">
        <x:v>业务含义</x:v>
      </x:c>
      <x:c r="C4" s="75" t="str">
        <x:v>粒度/单位</x:v>
      </x:c>
      <x:c r="D4" s="75" t="str">
        <x:v>建议来源</x:v>
      </x:c>
      <x:c r="E4" s="75" t="str">
        <x:v>用于哪个决策</x:v>
      </x:c>
      <x:c r="F4" s="76" t="str">
        <x:v>治理要求</x:v>
      </x:c>
    </x:row>
    <x:row r="5" ht="34" customHeight="1">
      <x:c r="A5" s="113" t="str">
        <x:v>日期</x:v>
      </x:c>
      <x:c r="B5" s="114" t="str">
        <x:v>业务发生日期</x:v>
      </x:c>
      <x:c r="C5" s="114" t="str">
        <x:v>日</x:v>
      </x:c>
      <x:c r="D5" s="114" t="str">
        <x:v>POS / 值班记录</x:v>
      </x:c>
      <x:c r="E5" s="114" t="str">
        <x:v>所有模块</x:v>
      </x:c>
      <x:c r="F5" s="115" t="str">
        <x:v>统一营业日切分时点</x:v>
      </x:c>
    </x:row>
    <x:row r="6" ht="34" customHeight="1">
      <x:c r="A6" s="116" t="str">
        <x:v>模拟门店</x:v>
      </x:c>
      <x:c r="B6" s="117" t="str">
        <x:v>门店唯一标识</x:v>
      </x:c>
      <x:c r="C6" s="117" t="str">
        <x:v>门店</x:v>
      </x:c>
      <x:c r="D6" s="117" t="str">
        <x:v>门店主数据</x:v>
      </x:c>
      <x:c r="E6" s="117" t="str">
        <x:v>分店预测、周评</x:v>
      </x:c>
      <x:c r="F6" s="118" t="str">
        <x:v>新店/成熟店标签可追溯</x:v>
      </x:c>
    </x:row>
    <x:row r="7" ht="34" customHeight="1">
      <x:c r="A7" s="116" t="str">
        <x:v>菜品</x:v>
      </x:c>
      <x:c r="B7" s="117" t="str">
        <x:v>重点菜品名称</x:v>
      </x:c>
      <x:c r="C7" s="117" t="str">
        <x:v>菜品</x:v>
      </x:c>
      <x:c r="D7" s="117" t="str">
        <x:v>POS / 菜品主数据</x:v>
      </x:c>
      <x:c r="E7" s="117" t="str">
        <x:v>备餐、品控</x:v>
      </x:c>
      <x:c r="F7" s="118" t="str">
        <x:v>菜品编码与名称分离</x:v>
      </x:c>
    </x:row>
    <x:row r="8" ht="34" customHeight="1">
      <x:c r="A8" s="116" t="str">
        <x:v>P50 / P75 预测</x:v>
      </x:c>
      <x:c r="B8" s="117" t="str">
        <x:v>需求中位与较保守分位预测</x:v>
      </x:c>
      <x:c r="C8" s="117" t="str">
        <x:v>份</x:v>
      </x:c>
      <x:c r="D8" s="117" t="str">
        <x:v>预测服务</x:v>
      </x:c>
      <x:c r="E8" s="117" t="str">
        <x:v>备餐建议</x:v>
      </x:c>
      <x:c r="F8" s="118" t="str">
        <x:v>记录模型版本与生成时间</x:v>
      </x:c>
    </x:row>
    <x:row r="9" ht="34" customHeight="1">
      <x:c r="A9" s="116" t="str">
        <x:v>店长确认</x:v>
      </x:c>
      <x:c r="B9" s="117" t="str">
        <x:v>店长最终备餐数量</x:v>
      </x:c>
      <x:c r="C9" s="117" t="str">
        <x:v>份</x:v>
      </x:c>
      <x:c r="D9" s="117" t="str">
        <x:v>作战台</x:v>
      </x:c>
      <x:c r="E9" s="117" t="str">
        <x:v>复盘</x:v>
      </x:c>
      <x:c r="F9" s="118" t="str">
        <x:v>保留调整人、理由、时间</x:v>
      </x:c>
    </x:row>
    <x:row r="10" ht="34" customHeight="1">
      <x:c r="A10" s="116" t="str">
        <x:v>实际销售</x:v>
      </x:c>
      <x:c r="B10" s="117" t="str">
        <x:v>实际售出数量</x:v>
      </x:c>
      <x:c r="C10" s="117" t="str">
        <x:v>份</x:v>
      </x:c>
      <x:c r="D10" s="117" t="str">
        <x:v>POS</x:v>
      </x:c>
      <x:c r="E10" s="117" t="str">
        <x:v>偏差与售罄判断</x:v>
      </x:c>
      <x:c r="F10" s="118" t="str">
        <x:v>日结后锁定口径</x:v>
      </x:c>
    </x:row>
    <x:row r="11" ht="34" customHeight="1">
      <x:c r="A11" s="116" t="str">
        <x:v>报损份数</x:v>
      </x:c>
      <x:c r="B11" s="117" t="str">
        <x:v>当日无法继续售卖的份数</x:v>
      </x:c>
      <x:c r="C11" s="117" t="str">
        <x:v>份</x:v>
      </x:c>
      <x:c r="D11" s="117" t="str">
        <x:v>库存/报损记录</x:v>
      </x:c>
      <x:c r="E11" s="117" t="str">
        <x:v>损耗控制</x:v>
      </x:c>
      <x:c r="F11" s="118" t="str">
        <x:v>区分质量、时效和操作原因</x:v>
      </x:c>
    </x:row>
    <x:row r="12" ht="34" customHeight="1">
      <x:c r="A12" s="116" t="str">
        <x:v>异常状态</x:v>
      </x:c>
      <x:c r="B12" s="117" t="str">
        <x:v>异常处置进度</x:v>
      </x:c>
      <x:c r="C12" s="117" t="str">
        <x:v>状态</x:v>
      </x:c>
      <x:c r="D12" s="117" t="str">
        <x:v>巡检/设备/人工上报</x:v>
      </x:c>
      <x:c r="E12" s="117" t="str">
        <x:v>品控、周评</x:v>
      </x:c>
      <x:c r="F12" s="118" t="str">
        <x:v>待复核不可自动关闭</x:v>
      </x:c>
    </x:row>
    <x:row r="13" ht="34" customHeight="1">
      <x:c r="A13" s="119" t="str">
        <x:v>RPN</x:v>
      </x:c>
      <x:c r="B13" s="120" t="str">
        <x:v>FMEA 风险优先数</x:v>
      </x:c>
      <x:c r="C13" s="120" t="str">
        <x:v>分值</x:v>
      </x:c>
      <x:c r="D13" s="120" t="str">
        <x:v>严重度×频度×可探测性</x:v>
      </x:c>
      <x:c r="E13" s="120" t="str">
        <x:v>异常排队</x:v>
      </x:c>
      <x:c r="F13" s="121" t="str">
        <x:v>只用于优先级，不替代专业结论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8" hidden="0" customWidth="1"/>
    <x:col min="3" max="3" width="26" hidden="0" customWidth="1"/>
    <x:col min="4" max="4" width="28" hidden="0" customWidth="1"/>
    <x:col min="5" max="5" width="30" hidden="0" customWidth="1"/>
    <x:col min="6" max="6" width="20" hidden="0" customWidth="1"/>
  </x:cols>
  <x:sheetData>
    <x:row r="1" ht="31" customHeight="1">
      <x:c r="A1" s="3" t="str">
        <x:v>指标口径与验证计划｜把“看起来聪明”变成可检验</x:v>
      </x:c>
    </x:row>
    <x:row r="2" ht="28" customHeight="1">
      <x:c r="A2" s="7" t="str">
        <x:v>所有阈值均为模拟试点的建议验证口径，不代表已达到的真实经营效果。</x:v>
      </x:c>
    </x:row>
    <x:row r="4" ht="28" customHeight="1">
      <x:c r="A4" s="74" t="str">
        <x:v>指标</x:v>
      </x:c>
      <x:c r="B4" s="75" t="str">
        <x:v>计算口径</x:v>
      </x:c>
      <x:c r="C4" s="75" t="str">
        <x:v>用于什么决策</x:v>
      </x:c>
      <x:c r="D4" s="75" t="str">
        <x:v>试点观察方式</x:v>
      </x:c>
      <x:c r="E4" s="75" t="str">
        <x:v>风险护栏</x:v>
      </x:c>
      <x:c r="F4" s="76" t="str">
        <x:v>当前材料中的状态</x:v>
      </x:c>
    </x:row>
    <x:row r="5" ht="42" customHeight="1">
      <x:c r="A5" s="113" t="str">
        <x:v>WAPE</x:v>
      </x:c>
      <x:c r="B5" s="114" t="str">
        <x:v>Σ|店长确认量-实际销售| / Σ实际销售</x:v>
      </x:c>
      <x:c r="C5" s="114" t="str">
        <x:v>判断备餐基线是否可用</x:v>
      </x:c>
      <x:c r="D5" s="114" t="str">
        <x:v>按门店、菜品、周度拆分</x:v>
      </x:c>
      <x:c r="E5" s="114" t="str">
        <x:v>避免只看总体、掩盖新店误差</x:v>
      </x:c>
      <x:c r="F5" s="115" t="str">
        <x:v>模拟样本已展示</x:v>
      </x:c>
    </x:row>
    <x:row r="6" ht="42" customHeight="1">
      <x:c r="A6" s="116" t="str">
        <x:v>建议采纳率</x:v>
      </x:c>
      <x:c r="B6" s="117" t="str">
        <x:v>沿用建议次数 / 有效建议次数</x:v>
      </x:c>
      <x:c r="C6" s="117" t="str">
        <x:v>判断建议是否进入工作流</x:v>
      </x:c>
      <x:c r="D6" s="117" t="str">
        <x:v>区分沿用、人工调整与未确认</x:v>
      </x:c>
      <x:c r="E6" s="117" t="str">
        <x:v>高采纳不等于正确，需搭配 WAPE</x:v>
      </x:c>
      <x:c r="F6" s="118" t="str">
        <x:v>模拟样本已展示</x:v>
      </x:c>
    </x:row>
    <x:row r="7" ht="42" customHeight="1">
      <x:c r="A7" s="116" t="str">
        <x:v>售罄率</x:v>
      </x:c>
      <x:c r="B7" s="117" t="str">
        <x:v>售罄菜品记录 / 菜品日记录</x:v>
      </x:c>
      <x:c r="C7" s="117" t="str">
        <x:v>控制爆品缺货风险</x:v>
      </x:c>
      <x:c r="D7" s="117" t="str">
        <x:v>重点关注晚市核心菜品</x:v>
      </x:c>
      <x:c r="E7" s="117" t="str">
        <x:v>不能用压低备餐量换取低报损</x:v>
      </x:c>
      <x:c r="F7" s="118" t="str">
        <x:v>模拟样本已展示</x:v>
      </x:c>
    </x:row>
    <x:row r="8" ht="42" customHeight="1">
      <x:c r="A8" s="116" t="str">
        <x:v>报损率</x:v>
      </x:c>
      <x:c r="B8" s="117" t="str">
        <x:v>报损份数 / 店长确认备餐量</x:v>
      </x:c>
      <x:c r="C8" s="117" t="str">
        <x:v>控制易耗食材积压</x:v>
      </x:c>
      <x:c r="D8" s="117" t="str">
        <x:v>按菜品与原因归因</x:v>
      </x:c>
      <x:c r="E8" s="117" t="str">
        <x:v>不能只追求低报损而提高售罄</x:v>
      </x:c>
      <x:c r="F8" s="118" t="str">
        <x:v>模拟样本已展示</x:v>
      </x:c>
    </x:row>
    <x:row r="9" ht="42" customHeight="1">
      <x:c r="A9" s="116" t="str">
        <x:v>异常闭环率</x:v>
      </x:c>
      <x:c r="B9" s="117" t="str">
        <x:v>已关闭异常 / 有效异常</x:v>
      </x:c>
      <x:c r="C9" s="117" t="str">
        <x:v>判断品控是否从提醒进入行动</x:v>
      </x:c>
      <x:c r="D9" s="117" t="str">
        <x:v>按风险等级和 SLA 拆分</x:v>
      </x:c>
      <x:c r="E9" s="117" t="str">
        <x:v>高风险必须人工复核</x:v>
      </x:c>
      <x:c r="F9" s="118" t="str">
        <x:v>模拟样本已展示</x:v>
      </x:c>
    </x:row>
    <x:row r="10" ht="42" customHeight="1">
      <x:c r="A10" s="119" t="str">
        <x:v>周评辅导完成率</x:v>
      </x:c>
      <x:c r="B10" s="120" t="str">
        <x:v>已完成辅导事项 / 已派发事项</x:v>
      </x:c>
      <x:c r="C10" s="120" t="str">
        <x:v>判断督导资源是否真正落到问题上</x:v>
      </x:c>
      <x:c r="D10" s="120" t="str">
        <x:v>周度追踪行动项</x:v>
      </x:c>
      <x:c r="E10" s="120" t="str">
        <x:v>不以黑箱分数直接奖惩门店</x:v>
      </x:c>
      <x:c r="F10" s="121" t="str">
        <x:v>待真实试点验证</x:v>
      </x:c>
    </x:row>
    <x:row r="13" ht="33" customHeight="1">
      <x:c r="A13" s="126" t="str">
        <x:v>建议的试点节奏：第 1 周校准数据口径；第 2-3 周观察建议采纳与异常闭环；第 4 周复盘门店差异。达到数据完整性、人工可用性与风险护栏要求后，才讨论扩大范围。</x:v>
      </x:c>
    </x:row>
  </x:sheetData>
  <x:mergeCells>
    <x:mergeCell ref="A1:F1"/>
    <x:mergeCell ref="A2:F2"/>
    <x:mergeCell ref="A13:F13"/>
  </x:mergeCells>
  <x:pageMargins left="0.7" right="0.7" top="0.75" bottom="0.75" header="0.3" footer="0.3"/>
</x:worksheet>
</file>